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er-Item Scor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<sst xmlns="http://schemas.openxmlformats.org/spreadsheetml/2006/main" count="332" uniqueCount="240">
  <si>
    <t xml:space="preserve">RAG Evaluation Report — EU AI Act / GDPR Compliance Assistant</t>
  </si>
  <si>
    <t xml:space="preserve">External LLM-as-judge evaluation of 41 test cases · pipeline_outputs_for_external_judge.jsonl</t>
  </si>
  <si>
    <t xml:space="preserve">1. Overall Results (N=41)</t>
  </si>
  <si>
    <t xml:space="preserve">Metric</t>
  </si>
  <si>
    <t xml:space="preserve">Value</t>
  </si>
  <si>
    <t xml:space="preserve">What it measures</t>
  </si>
  <si>
    <t xml:space="preserve">Context Recall @5 (doc-level)</t>
  </si>
  <si>
    <t xml:space="preserve">% of queries where the labelled gold document appears anywhere in the top-5 retrieved chunks</t>
  </si>
  <si>
    <t xml:space="preserve">Mean Reciprocal Rank (MRR)</t>
  </si>
  <si>
    <t xml:space="preserve">How high the gold document ranks when it is retrieved (1.0 = always rank 1)</t>
  </si>
  <si>
    <t xml:space="preserve">Citation Recall (gold doc cited)</t>
  </si>
  <si>
    <t xml:space="preserve">% of queries whose citation list includes the gold document</t>
  </si>
  <si>
    <t xml:space="preserve">Faithfulness (avg, judge-scored)</t>
  </si>
  <si>
    <t xml:space="preserve">Is the generated answer grounded in retrieved context (no fabrication)?</t>
  </si>
  <si>
    <t xml:space="preserve">Answer Correctness (avg, judge-scored)</t>
  </si>
  <si>
    <t xml:space="preserve">Does the generated answer match the expected answer in substance?</t>
  </si>
  <si>
    <t xml:space="preserve">Answer Relevancy</t>
  </si>
  <si>
    <t xml:space="preserve">All 41 answers are directly on-topic / address the question asked (none go off-topic) — see note below</t>
  </si>
  <si>
    <t xml:space="preserve">2. Results by Question Difficulty</t>
  </si>
  <si>
    <t xml:space="preserve">Difficulty</t>
  </si>
  <si>
    <t xml:space="preserve">N</t>
  </si>
  <si>
    <t xml:space="preserve">Retrieval Hit@5</t>
  </si>
  <si>
    <t xml:space="preserve">MRR</t>
  </si>
  <si>
    <t xml:space="preserve">Citation Recall</t>
  </si>
  <si>
    <t xml:space="preserve">Faithfulness</t>
  </si>
  <si>
    <t xml:space="preserve">Answer Correctness</t>
  </si>
  <si>
    <t xml:space="preserve">single-hop</t>
  </si>
  <si>
    <t xml:space="preserve">multi-hop</t>
  </si>
  <si>
    <t xml:space="preserve">cross-reference</t>
  </si>
  <si>
    <t xml:space="preserve">temporal-conflict</t>
  </si>
  <si>
    <t xml:space="preserve">OVERALL</t>
  </si>
  <si>
    <t xml:space="preserve">3. Outcome Distribution (41 cases)</t>
  </si>
  <si>
    <t xml:space="preserve">Outcome label</t>
  </si>
  <si>
    <t xml:space="preserve">Count</t>
  </si>
  <si>
    <t xml:space="preserve">% of total</t>
  </si>
  <si>
    <t xml:space="preserve">Correct</t>
  </si>
  <si>
    <t xml:space="preserve">Correct-Partial</t>
  </si>
  <si>
    <t xml:space="preserve">Correct-Condensed</t>
  </si>
  <si>
    <t xml:space="preserve">Partial</t>
  </si>
  <si>
    <t xml:space="preserve">Partial / Incorrect</t>
  </si>
  <si>
    <t xml:space="preserve">Abstained-Justified / Task Fail</t>
  </si>
  <si>
    <t xml:space="preserve">Incorrect / Hallucinated</t>
  </si>
  <si>
    <t xml:space="preserve">Total</t>
  </si>
  <si>
    <t xml:space="preserve">4. Key Findings</t>
  </si>
  <si>
    <t xml:space="preserve">Finding 1 — Citations are not an independent signal.</t>
  </si>
  <si>
    <t xml:space="preserve">In 41/41 records, the 'citations' list is exactly the set of unique document paths in the top-5 retrieved chunks — no more, no less. The pipeline does not currently select which sources actually support the answer; it echoes back whatever was retrieved. Citation accuracy therefore cannot be evaluated as a generation-quality metric on this dataset, and (more importantly) end users cannot trust a citation as evidence a specific claim is grounded. Recommendation: implement claim-level citation attribution.</t>
  </si>
  <si>
    <t xml:space="preserve">Finding 2 — Document-level retrieval hit-rate overstates true recall.</t>
  </si>
  <si>
    <t xml:space="preserve">Two verified cases (#1, #26) retrieved the correct SOURCE DOCUMENT but the wrong CHUNK within it — the specific sentence needed (a compliance date; a 5-business-day SLA) sat in a different chunk of the same document that wasn't fetched. Both cases are counted as retrieval 'hits' at the document level, but the task still failed. This is the single largest driver of the gap between an 85% document-level hit-rate and a 79% answer-correctness rate. Recommendation: report a chunk-level recall metric, not just a document-level one; consider smaller/overlapping chunks or a second-pass re-ranker for these long guidance pages.</t>
  </si>
  <si>
    <t xml:space="preserve">Finding 3 — One clear hallucination under good retrieval (#35).</t>
  </si>
  <si>
    <t xml:space="preserve">The gold answer (GDPR Art. 9's 'without prejudice' clause) was present verbatim in TWO retrieved chunks (rank 3 and rank 4/5), yet the model instead built a fluent, well-formatted, but incorrect answer around a different regulation (the Law Enforcement Directive 2016/680, mislabelled 'Biometric Data Directive') and never mentioned GDPR Art. 9. This is the most consequential single error in the set: confident, plausible, and wrong, on a legal cross-reference question a compliance user would rely on directly.</t>
  </si>
  <si>
    <t xml:space="preserve">Finding 4 — Self-inconsistency across near-duplicate questions (#38 vs #39).</t>
  </si>
  <si>
    <t xml:space="preserve">Asked essentially the same fact two different ways, the system correctly cited Art. 53(2) as the source of the open-source exemption in #38, then in #39 claimed the exemption is 'set out in Article 53(1)(a) and (b) itself' — contradicting its own prior answer. This points to a lack of self-consistency / verification step in generation, worth adding as a dedicated consistency check across paraphrased queries.</t>
  </si>
  <si>
    <t xml:space="preserve">Finding 5 — Multi-hop and cross-reference questions are materially weaker than single-hop.</t>
  </si>
  <si>
    <t xml:space="preserve">Single-hop correctness averages ~0.86 vs ~0.43 (multi-hop, n=3) and ~0.74 (cross-reference, n=8); single-hop retrieval hit-rate is ~93% vs ~33-67% for the harder categories. The system is reliable on direct lookups but degrades on questions that require connecting two provisions or two documents (e.g. AI Act + GDPR) — exactly where a compliance user needs it most.</t>
  </si>
  <si>
    <t xml:space="preserve">Finding 6 — Even on 'hits', completeness often lags.</t>
  </si>
  <si>
    <t xml:space="preserve">Records #7, #14, #26, #31, #32, #40 show a repeated pattern: the model states the correct top-level answer but drops a specific carve-out, exception, or safeguard clause that the expected answer treats as essential (e.g. Art. 22(2)/(3) safeguards, the law-enforcement exception, the special-category-data nuance). Retrieval succeeded in most of these; the gap is in extraction/synthesis completeness, not in finding the source.</t>
  </si>
  <si>
    <t xml:space="preserve">Finding 7 — Chunking introduces boilerplate noise.</t>
  </si>
  <si>
    <t xml:space="preserve">Many 'guidance/service_desk_articles/*' chunks are prefixed with ~100-150 tokens of repeated navigational text (a full Article 108-113 / Annex I-XIII table of contents) before the substantive guidance content, diluting effective context precision even in chunks that are otherwise on-topic and correctly ranked. Recommendation: strip navigation/boilerplate at ingestion time or chunk below the page-nav boundary.</t>
  </si>
  <si>
    <t xml:space="preserve">5. Metric Glossary</t>
  </si>
  <si>
    <t xml:space="preserve">Retrieval metric. Was the labelled gold source document present anywhere in the top-5 chunks returned? (Does NOT guarantee the specific needed sentence was retrieved — see Finding 2.)</t>
  </si>
  <si>
    <t xml:space="preserve">MRR (Mean Reciprocal Rank)</t>
  </si>
  <si>
    <t xml:space="preserve">Retrieval metric. Average of 1/rank of the gold document when found, 0 when missed. Rewards ranking the right document near the top, not just anywhere in the top-5.</t>
  </si>
  <si>
    <t xml:space="preserve">Whether the gold document appears in the answer's citation list. Currently mechanically identical to retrieval hit-rate — see Finding 1.</t>
  </si>
  <si>
    <t xml:space="preserve">Generation metric (LLM-judge). Does every claim in the generated answer trace back to something actually present in the retrieved chunks, with nothing fabricated?</t>
  </si>
  <si>
    <t xml:space="preserve">Generation/system metric (LLM-judge). Does the generated answer match the expected (gold) answer in substance, including its key specifics and carve-outs — not just its top-level conclusion?</t>
  </si>
  <si>
    <t xml:space="preserve">Generation metric. Does the answer actually address what was asked, on-topic, without padding? (Uniformly high in this dataset.)</t>
  </si>
  <si>
    <t xml:space="preserve">ID</t>
  </si>
  <si>
    <t xml:space="preserve">Question</t>
  </si>
  <si>
    <t xml:space="preserve">Expected Answer</t>
  </si>
  <si>
    <t xml:space="preserve">Generated Answer</t>
  </si>
  <si>
    <t xml:space="preserve">Retrieval Hit@5
(gold doc)</t>
  </si>
  <si>
    <t xml:space="preserve">Retrieval Rank</t>
  </si>
  <si>
    <t xml:space="preserve">Citation Includes
Gold Doc</t>
  </si>
  <si>
    <t xml:space="preserve"># Citations</t>
  </si>
  <si>
    <t xml:space="preserve">Faithfulness
(0-1)</t>
  </si>
  <si>
    <t xml:space="preserve">Answer Correctness
(0-1)</t>
  </si>
  <si>
    <t xml:space="preserve">Outcome Label</t>
  </si>
  <si>
    <t xml:space="preserve">Judge Notes / Rationale</t>
  </si>
  <si>
    <t xml:space="preserve">When do Annex III high-risk AI system obligations become applicable?</t>
  </si>
  <si>
    <t xml:space="preserve">2 December 2027, per the Digital Omnibus amendment to Article 113's third paragraph, point (c) — not the original 2 August 2026 date (the Regulation's general application date) that applied before the amendment.</t>
  </si>
  <si>
    <t xml:space="preserve">The obligations for high‑risk AI systems that are listed in **Annex III** become applicable from **2 December 2027**. This is the date set for the application of Sections 1, 2 and 3 of Chapter III of Regulation (EU) 2024/1689 for AI systems classified as high‑risk pursuant to Article 6(2) and Annex III.</t>
  </si>
  <si>
    <t xml:space="preserve">Correct date (2 Dec 2027), verified grounded in retrieved chunk (rank 3, digital_omnibus doc). But doesn't flag that this date supersedes the original 2 Aug 2026 date -- the core point a temporal-conflict test checks.</t>
  </si>
  <si>
    <t xml:space="preserve">By what date must AI systems classified as high-risk under Article 6(1) and Annex I (i.e. safety components of products already covered by other EU product-safety legislation) comply with the AI Act's high-risk requirements?</t>
  </si>
  <si>
    <t xml:space="preserve">2 August 2028, per the Digital Omnibus amendment. The original Regulation set this date at 2 August 2027 (Article 113, third paragraph, original point (c)).</t>
  </si>
  <si>
    <t xml:space="preserve">The provided excerpts do not contain a specific date by which AI systems classified as high‑risk under Article 6(1) and Annex I must comply with the AI Act’s high‑risk requirements.</t>
  </si>
  <si>
    <t xml:space="preserve">VERIFIED: the correct fact ('2 August 2028') sits in the SAME source document, chunk_idx 28 -- which WAS retrieved for record 0's query. For this query the retriever instead fetched chunk_idx 17 of that doc (grace-period text), which does not contain the date. Model correctly avoided hallucinating given what it saw, but the task failed due to a chunk-level retrieval miss hidden inside a document-level hit.</t>
  </si>
  <si>
    <t xml:space="preserve">What was the original application date for the AI Act's high-risk system requirements (Chapter III), before the Digital Omnibus amendment?</t>
  </si>
  <si>
    <t xml:space="preserve">2 August 2026 — the Regulation's general application date set in the original Article 113 ('It shall apply from 2 August 2026'), which covered Annex III high-risk systems since they had no separate carve-out in the original text. Only Article 6(1)/Annex I systems had a later original date of 2 August 2027.</t>
  </si>
  <si>
    <t xml:space="preserve">The provided excerpts do not contain information about the original application date for the AI Act’s high‑risk system requirements (Chapter III) before the Digital Omnibus amendment.</t>
  </si>
  <si>
    <t xml:space="preserve">Full document-level retrieval miss -- correct, honest abstention.</t>
  </si>
  <si>
    <t xml:space="preserve">When do the new prohibited AI practices added by the Digital Omnibus (the new points (ba) and (bb) inserted into Article 5(1), and new paragraphs 5(1a) and 5(1b)) become applicable?</t>
  </si>
  <si>
    <t xml:space="preserve">2 December 2026.</t>
  </si>
  <si>
    <t xml:space="preserve">The new prohibited AI practices that were added by the Digital Omnibus – namely the new points **(ba)** and **(bb)** inserted into Article 5(1), and the new paragraphs **5(1a)** and **5(1b)** – become applicable from **2 December 2026**.</t>
  </si>
  <si>
    <t xml:space="preserve">Exact match, well grounded (rank 2).</t>
  </si>
  <si>
    <t xml:space="preserve">Does the Digital Omnibus change when Chapters I and II of the AI Act apply?</t>
  </si>
  <si>
    <t xml:space="preserve">No — Chapters I and II still apply from 2 February 2025, the same as in the original Regulation. The Omnibus only adds an exception for the new prohibited-practice provisions (Article 5(1) points (ba)/(bb) and Article 5(1a)/(1b)), which apply later, from 2 December 2026.</t>
  </si>
  <si>
    <t xml:space="preserve">The context provided does not indicate that the Digital Omnibus changes the date on which Chapters I and II of the AI Act apply. According to Article 113 of the AI Act, Chapters I and II are set to apply from 2 February 2025, and there is no mention in the excerpts that the Digital Omnibus alters this schedule.</t>
  </si>
  <si>
    <t xml:space="preserve">Gets the primary question right (Ch I/II unaffected, 2 Feb 2025) but misses the multi-hop link to the new prohibited-practice exception (2 Dec 2026); Digital Omnibus doc was not retrieved.</t>
  </si>
  <si>
    <t xml:space="preserve">According to the Digital Omnibus amendment, from what date do Articles 102 to 110 of the AI Act apply?</t>
  </si>
  <si>
    <t xml:space="preserve">27 July 2026.</t>
  </si>
  <si>
    <t xml:space="preserve">The provided context excerpts do not contain information about the dates on which Articles 102 to 110 of the AI Act apply under the Digital Omnibus amendment.</t>
  </si>
  <si>
    <t xml:space="preserve">According to the AI Act's definitions in Article 3, what does 'reasonably foreseeable misuse' mean?</t>
  </si>
  <si>
    <t xml:space="preserve">The use of an AI system in a way that is not in accordance with its intended purpose, but which may result from reasonably foreseeable human behaviour or interaction with other systems, including other AI systems.</t>
  </si>
  <si>
    <t xml:space="preserve">According to the AI Act’s definitions in Article 3, “reasonably foreseeable misuse” means the use of an AI system in a way that is not in accordance with its intended purpose, but which may result from reasonably foreseeable human behaviour or interaction with other systems, including other AI systems.</t>
  </si>
  <si>
    <t xml:space="preserve">Verbatim-correct definition, rank 1.</t>
  </si>
  <si>
    <t xml:space="preserve">Under Article 5 of the AI Act, is real-time remote biometric identification in publicly accessible spaces for law enforcement completely banned?</t>
  </si>
  <si>
    <t xml:space="preserve">No. It is prohibited by default, but the AI Act allows narrow exceptions where strictly necessary for: (i) targeted searches for victims of abduction, trafficking, or sexual exploitation, or missing persons; (ii) prevention of a specific, substantial and imminent threat to life or physical safety, or a genuine terrorist threat; or (iii) localising/identifying a suspect for prosecuting certain serious crimes carrying at least a 4-year custodial sentence. Even then, use requires a fundamental rights impact assessment, EU database registration, and generally prior judicial or independent administrative authorisation.</t>
  </si>
  <si>
    <t xml:space="preserve">No. Article 5 of the AI Act does **not** ban real‑time remote biometric identification in publicly accessible spaces for law enforcement. Instead, it sets out a detailed regulatory framework that allows such use only under strict conditions (e.g., prior authorisation, fundamental‑rights impact assessment, registration in the EU database, and compliance with biometric‑data rules). The Act therefore regulates rather than prohibits this type of system.</t>
  </si>
  <si>
    <t xml:space="preserve">Right stance (not a full ban) but omits the three specific statutory exception categories that carry the substance of the answer. Retrieval succeeded (rank 2) -- an extraction/completeness gap, not a retrieval gap.</t>
  </si>
  <si>
    <t xml:space="preserve">Under Article 6(3) of the AI Act, can an AI system listed in Annex III avoid being classified as high-risk?</t>
  </si>
  <si>
    <t xml:space="preserve">Yes, by derogation, an Annex III system is not considered high-risk if it does not pose a significant risk of harm to health, safety, or fundamental rights, including by not materially influencing the outcome of decision-making — for example if it performs a narrow procedural task, improves the result of a previously completed human activity, detects deviations from prior human decision-making patterns without replacing human assessment, or performs a preparatory task. However, this derogation never applies if the system performs profiling of natural persons — such a system is always considered high-risk.</t>
  </si>
  <si>
    <t xml:space="preserve">Yes.  
Article 6(3) states that an AI system referred to in Annex III **shall not be considered high‑risk** where it does not pose a significant risk of harm to the health, safety or fundamental rights of natural persons, **including by not materially influencing the outcome of decision making**. The paragraph then lists conditions that, if met, allow the system to be exempted:
* (a) the AI system is intended to perform a narrow procedural task;  
* (b) the AI system is intended to improve the result of a previously completed human activity;  
* (c) the AI system is intended to detect decision‑making patterns or deviations from prior decision‑making patterns and is not meant to replace or influence the previously completed human assessment, without proper human review; or  
* (d) the AI system is intended to perform a preparatory task to an assessment relevant for the purposes of the use cases listed in Annex III.
If any of these conditions are satisfied, the system can avoid being classified as high‑risk, provided it also does not perform profiling of natural persons (which would automatically make it high‑risk).</t>
  </si>
  <si>
    <t xml:space="preserve">Complete, well-structured, rank 1.</t>
  </si>
  <si>
    <t xml:space="preserve">Under Article 9 of the AI Act, is the risk management system for a high-risk AI system a one-time exercise done before market placement?</t>
  </si>
  <si>
    <t xml:space="preserve">No. It must be established, implemented, documented and maintained as a continuous iterative process planned and run throughout the entire lifecycle of the high-risk AI system, requiring regular systematic review and updating.</t>
  </si>
  <si>
    <t xml:space="preserve">No.  
Article 9 of the AI Act requires that a risk‑management system for a high‑risk AI system be **established, implemented, documented and maintained** throughout the entire lifecycle of the system. It is described as a continuous, iterative process that is regularly reviewed and updated, and testing may be performed at any time during development and prior to market placement. Thus, it is not a one‑time exercise done only before market placement.</t>
  </si>
  <si>
    <t xml:space="preserve">Complete, rank 1.</t>
  </si>
  <si>
    <t xml:space="preserve">Under Article 10 of the AI Act, can a provider of a high-risk AI system ever process special categories of personal data (e.g. race, health data) to detect and correct bias?</t>
  </si>
  <si>
    <t xml:space="preserve">Yes, exceptionally, but only if strictly necessary for bias detection and correction, and only when several conditions are all met: the correction cannot be effectively achieved with other data (including synthetic or anonymised data); the special category data is subject to technical limitations on re-use and state-of-the-art security/privacy measures including pseudonymisation; strict access controls and documentation are in place; the data is not transmitted or otherwise accessed by other parties; it is deleted once the bias is corrected or the retention period ends, whichever is first; and the records of processing document why this was strictly necessary.</t>
  </si>
  <si>
    <t xml:space="preserve">Yes.  
Under Article 10 of the AI Act, a provider of a high‑risk AI system may **exceptionally** process special categories of personal data (such as race or health data) **if and only if** it is strictly necessary to detect and correct bias. The processing must be carried out under the safeguards and conditions set out in the regulation (e.g., technical limitations, security measures, deletion after bias correction, documentation of necessity, etc.).</t>
  </si>
  <si>
    <t xml:space="preserve">Correct gist; several safeguards condensed into 'etc.'. Retrieved at rank 5 -- weak ranking even though technically a hit.</t>
  </si>
  <si>
    <t xml:space="preserve">Under Article 11 of the AI Act, do small and medium-sized enterprises get any relief from the technical documentation requirements for high-risk AI systems?</t>
  </si>
  <si>
    <t xml:space="preserve">Yes. SMEs, including start-ups, may provide the Annex IV technical documentation elements in a simplified manner, using a simplified technical documentation form that the Commission must establish targeted at the needs of small and microenterprises. Notified bodies are required to accept this simplified form for conformity assessment purposes.</t>
  </si>
  <si>
    <t xml:space="preserve">Yes.  
Under Article 11 of the AI Act, small and medium‑sized enterprises (SMEs) and start‑ups are allowed to provide the technical documentation for a high‑risk AI system in a **simplified manner**. The Commission will provide a simplified technical documentation form that SMEs can use, and notified bodies must accept this form for the conformity assessment. This is a specific relief from the full technical documentation requirements that apply to larger operators.</t>
  </si>
  <si>
    <t xml:space="preserve">Complete match, rank 3.</t>
  </si>
  <si>
    <t xml:space="preserve">Under Article 12 of the AI Act, what minimum logging information must a high-risk remote biometric identification system record?</t>
  </si>
  <si>
    <t xml:space="preserve">At minimum: the period of each use of the system (start and end date/time), the reference database against which input data was checked, the input data for which the search led to a match, and the identification of the natural persons who verified the results (as referred to in Article 14(5)).</t>
  </si>
  <si>
    <t xml:space="preserve">Under Article 12 of the AI Act, a high‑risk remote biometric identification system must automatically record, at a minimum:
1. **The period of each use** – the start date and time and the end date and time of every use of the system.  
2. **The reference database** – the database against which the input data were checked.  
3. **The input data that led to a match** – the specific data that caused the system to find a match.  
4. **The identification of the natural persons involved in the verification of the results** – the individuals who verified the system’s output.</t>
  </si>
  <si>
    <t xml:space="preserve">Under Article 13 of the AI Act, what must the instructions for use of a high-risk AI system contain regarding accuracy?</t>
  </si>
  <si>
    <t xml:space="preserve">The instructions must state the level of accuracy, including its metrics, robustness and cybersecurity against which the system has been tested and validated and which can be expected, plus any known or foreseeable circumstances that could affect that expected level of accuracy, robustness and cybersecurity.</t>
  </si>
  <si>
    <t xml:space="preserve">Under Article 13 of the AI Act, the instructions for use of a high‑risk AI system must include:
* **The level of accuracy** of the system, together with the **accuracy metrics** that were used to test and validate it.  
* The **robustness** and **cybersecurity** levels that the system has been tested against and that can be expected.  
* Any **known or foreseeable circumstances** that may affect that expected level of accuracy, robustness or cybersecurity.  
These details are required so that deployers can understand the performance expectations of the system.</t>
  </si>
  <si>
    <t xml:space="preserve">Complete, rank 3.</t>
  </si>
  <si>
    <t xml:space="preserve">Under Article 14 of the AI Act, for high-risk remote biometric identification systems used for identification (Annex III point 1(a)), how many people must verify a match before a deployer acts on it?</t>
  </si>
  <si>
    <t xml:space="preserve">At least two natural persons with the necessary competence, training and authority must separately verify and confirm the identification before the deployer takes any action or decision based on it — unless the system is used for law enforcement, migration, border control or asylum purposes where national or Union law considers this requirement disproportionate.</t>
  </si>
  <si>
    <t xml:space="preserve">Under Article 14 of the AI Act, for high‑risk remote biometric identification systems used for identification (Annex III point 1(a)), a match must be separately verified and confirmed by **at least two natural persons** before a deployer may act on it.</t>
  </si>
  <si>
    <t xml:space="preserve">Gets the 'two person' rule right but omits the law-enforcement/migration/border/asylum exception. Retrieval succeeded (rank 1) -- extraction/completeness gap.</t>
  </si>
  <si>
    <t xml:space="preserve">Under Article 15 of the AI Act, what specific cybersecurity threats must high-risk AI systems' technical solutions address, where appropriate?</t>
  </si>
  <si>
    <t xml:space="preserve">Measures to prevent, detect, respond to, resolve and control attacks trying to manipulate the training data set (data poisoning), pre-trained components used in training (model poisoning), inputs designed to cause the AI model to make a mistake (adversarial examples or model evasion), confidentiality attacks, or model flaws.</t>
  </si>
  <si>
    <t xml:space="preserve">Under Article 15, the technical solutions that high‑risk AI systems must implement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t>
  </si>
  <si>
    <t xml:space="preserve">Exact quote match, rank 1.</t>
  </si>
  <si>
    <t xml:space="preserve">Under Article 16 of the AI Act, besides ensuring compliance with the Section 2 requirements, what conformity-related steps must a provider of a high-risk AI system complete before placing it on the market?</t>
  </si>
  <si>
    <t xml:space="preserve">The provider must have a quality management system in place, ensure the system undergoes the relevant conformity assessment procedure, draw up an EU declaration of conformity, and affix the CE marking (or place it on packaging/documentation if not possible on the system itself), in addition to keeping required documentation and logs and complying with registration obligations.</t>
  </si>
  <si>
    <t xml:space="preserve">Under Article 16 of the AI Act, a provider of a high‑risk AI system must, **in addition to ensuring that the system complies with the requirements set out in Section 2**, complete the following conformity‑related steps before the system can be placed on the market:
| Step | What the provider must do |
|------|---------------------------|
| **(f) Conformity assessment** | Make sure the system undergoes the relevant conformity‑assessment procedure referred to in Article 43 (e.g., internal control or a notified‑body assessment, depending on the system). |
| **(g) EU declaration of conformity** | Draw up an EU declaration of conformity in accordance with Article 47. |
| **(h) CE marking** | Affix the CE marking to the system (or to its packaging or accompanying documentation) to indicate conformity with the Regulation, in accordance with Article 48. |
| **(i) Registration** | Comply with the registration obligations referred to in Article 49(1). |
| **(j) Corrective actions** | Take the necessary corrective actions and provide information as required in Article 20. |
| **(k) Demonstrate compliance** | Upon a reasoned request of a national competent authority, demonstrate the conformity of the high‑risk AI system with the requirements set out in Section 2. |
| **(l) Accessibility** | Ensure that the system complies with accessibility requirements in accordance with Directives (EU) 2016/2102 and (EU) 2019/882. |
These steps, together with the other obligations listed in Article 16 (e.g., having a quality‑management system, keeping documentation and logs, indicating contact details, etc.), must be fulfilled before the provider can place the high‑risk AI system on the market.</t>
  </si>
  <si>
    <t xml:space="preserve">Thorough, exceeds expected detail with correctly-grounded extras, rank 4.</t>
  </si>
  <si>
    <t xml:space="preserve">Under Article 50 of the AI Act, if an AI-generated deepfake forms part of an evidently satirical or artistic work, is the deployer still required to disclose that the content is AI-generated?</t>
  </si>
  <si>
    <t xml:space="preserve">Yes, but the obligation is limited: the deployer only needs to disclose the existence of the generated or manipulated content in an appropriate manner that does not hamper the display or enjoyment of the work — a full, prominent disclosure isn't required in that context.</t>
  </si>
  <si>
    <t xml:space="preserve">Yes.  
Under Article 50(4) of the AI Act, a deployer must disclose that content has been artificially generated or manipulated **even when it is part of an evidently artistic, creative, satirical, fictional or analogous work**. The disclosure is limited to stating the existence of the AI‑generated or manipulated content in an appropriate manner that does not hamper the display or enjoyment of the work (see guidance excerpts [3] and [4]).</t>
  </si>
  <si>
    <t xml:space="preserve">Complete match, rank 4.</t>
  </si>
  <si>
    <t xml:space="preserve">Under Article 53 of the AI Act, are providers of open-source general-purpose AI models exempt from all obligations in Article 53(1)?</t>
  </si>
  <si>
    <t xml:space="preserve">No. Providers of GPAI models released under a free and open-source licence (with publicly available parameters, weights, architecture info, and usage info) are exempt only from the documentation obligations in points (a) and (b) — not from the copyright policy obligation (point c) or the public training-content-summary obligation (point d). This exemption also does not apply at all if the model is a general-purpose AI model with systemic risk.</t>
  </si>
  <si>
    <t xml:space="preserve">No.  
According to the guidance excerpts, providers of open‑source general‑purpose AI models are **not exempt from all obligations in Article 53(1)**.  
The exceptions apply only to the following points:
* **Article 53(1), point (a)** – the obligation to draw up and keep up‑to‑date the technical documentation of the model (including training, testing and evaluation results).  
* **Article 53(1), point (b)** – the obligation to draw up, keep up‑to‑date and make available information and documentation to providers of AI systems that intend to integrate the model.  
These exceptions **do not** cover the other obligations in Article 53(1), such as:
* **Point (c)** – the obligation to put in place a copyright policy.  
* **Point (d)** – the obligation to provide a public summary of the content used for training.  
Furthermore, the exceptions do not apply if the model is a general‑purpose AI model with systemic risk. Thus, while some transparency‑related obligations are waived for open‑source models, providers still have to comply with the remaining obligations in Article 53(1).</t>
  </si>
  <si>
    <t xml:space="preserve">Complete, well organised, rank 3.</t>
  </si>
  <si>
    <t xml:space="preserve">Under Article 55 of the AI Act, name two obligations that apply specifically to providers of general-purpose AI models with systemic risk, beyond the base Article 53 obligations.</t>
  </si>
  <si>
    <t xml:space="preserve">They must perform model evaluation using standardised protocols and tools reflecting the state of the art, including adversarial testing to identify and mitigate systemic risks; and they must assess and mitigate possible systemic risks at Union level. (They must also track, document and report serious incidents without undue delay, and ensure adequate cybersecurity for the model and its physical infrastructure.)</t>
  </si>
  <si>
    <t xml:space="preserve">Under Article 55 of the AI Act, providers of general‑purpose AI models with systemic risk must, in addition to the obligations in Article 53, do the following:
1. **Perform model evaluation** in accordance with standardised protocols and tools that reflect the state of the art, including conducting and documenting adversarial testing of the model to identify and mitigate systemic risks.  
2. **Assess and mitigate possible systemic risks at Union level**, including identifying their sources, that may arise from the development, placing on the market, or use of the general‑purpose AI model with systemic risk.</t>
  </si>
  <si>
    <t xml:space="preserve">Complete, rank 2.</t>
  </si>
  <si>
    <t xml:space="preserve">Under Article 113 of the AI Act's original text, when do Chapter III Section 4 (notified bodies), Chapter V (GPAI models), Chapter VII (governance) and Chapter XII (penalties, excluding Article 101) become applicable?</t>
  </si>
  <si>
    <t xml:space="preserve">From 2 August 2025 — one year after entry into force, and a year before most of the rest of the Regulation applies (2 August 2026).</t>
  </si>
  <si>
    <t xml:space="preserve">Under the original text of the AI Act, Chapter III Section 4 (notified bodies), Chapter V (general‑purpose AI models), Chapter VII (governance) and Chapter XII (penalties, excluding Article 101) all become applicable on **2 August 2025**. The only exception is Article 101, which does not take effect on that date.</t>
  </si>
  <si>
    <t xml:space="preserve">Verbatim date/article match, rank 2.</t>
  </si>
  <si>
    <t xml:space="preserve">According to the GPAI Code of Practice's Transparency Chapter, how long must Signatories retain previous versions of their Model Documentation after a general-purpose AI model has been placed on the market?</t>
  </si>
  <si>
    <t xml:space="preserve">For a period ending 10 years after the model has been placed on the market, per Measure 1.1 (Drawing up and keeping up-to-date model documentation).</t>
  </si>
  <si>
    <t xml:space="preserve">According to the GPAI Code of Practice’s Transparency Chapter, Signatories must keep previous versions of their Model Documentation for a period ending **10 years after the model has been placed on the market**.</t>
  </si>
  <si>
    <t xml:space="preserve">Exact match, rank 1.</t>
  </si>
  <si>
    <t xml:space="preserve">According to the GPAI Code of Practice's Transparency Chapter, within how many days of a downstream provider's request must a Signatory normally provide the additional information needed to integrate the model?</t>
  </si>
  <si>
    <t xml:space="preserve">Within a reasonable timeframe, and no later than 14 days of receiving the request, save for exceptional circumstances.</t>
  </si>
  <si>
    <t xml:space="preserve">According to the GPAI Code of Practice’s Transparency Chapter, a Signatory must normally provide the additional information within **14 days** of receiving the downstream provider’s request.</t>
  </si>
  <si>
    <t xml:space="preserve">According to the GPAI Code of Practice's Copyright Chapter, what must Signatories do about websites that courts or public authorities in the EU/EEA have recognised as persistently and repeatedly infringing copyright on a commercial scale?</t>
  </si>
  <si>
    <t xml:space="preserve">Signatories commit to exclude such websites from their web-crawling for text and data mining/training purposes, relying on a dynamic list of hyperlinks to such websites issued by relevant EU/EEA bodies and made publicly available on an EU website.</t>
  </si>
  <si>
    <t xml:space="preserve">According to the GPAI Code of Practice’s Copyright Chapter, Signatories must **exclude from their web‑crawling any websites that have been recognised by courts or public authorities in the European Union and the European Economic Area as persistently and repeatedly infringing copyright on a commercial scale**. This exclusion is to be carried out in compliance with the dynamic list of hyperlinks that will be made publicly available on an EU website.</t>
  </si>
  <si>
    <t xml:space="preserve">Complete match, rank 1.</t>
  </si>
  <si>
    <t xml:space="preserve">According to the GPAI Code of Practice's Copyright Chapter, how are Signatories expected to identify and comply with rights reservations expressed by rightsholders under Article 4(3) of the Copyright in the Digital Single Market Directive (2019/790) when web-crawling?</t>
  </si>
  <si>
    <t xml:space="preserve">By employing web-crawlers that read and follow instructions under the Robot Exclusion Protocol (robots.txt, IETF RFC 9309, and future versions where technically feasible), and by identifying and complying with other appropriate machine-readable protocols for expressing rights reservations (e.g. asset-based or location-based metadata) that are state of the art and widely adopted by rightsholders.</t>
  </si>
  <si>
    <t xml:space="preserve">According to the GPAI Code of Practice’s Copyright Chapter, Signatories are expected to:
1. **Use web‑crawlers that read and follow the Robot Exclusion Protocol (robots.txt)** as specified in IETF Request for Comments No. 9309 (or any subsequent version).  
2. **Employ state‑of‑the‑art technologies** to detect and interpret machine‑readable reservations of rights that rightsholders have expressed under Article 4(3) of Directive (EU) 2019/790.  
3. **Act on those reservations** by ensuring that the crawling process respects the expressed rights reservations—i.e., the crawler must not retrieve or use content that has been reserved by the rightsholder for the purpose of text and data mining.  
These commitments are laid out in Measure 1.3 of the Code, which requires Signatories to identify and comply with rights reservations when crawling the World Wide Web.</t>
  </si>
  <si>
    <t xml:space="preserve">Complete, well-detailed, rank 1.</t>
  </si>
  <si>
    <t xml:space="preserve">According to the Safety and Security Chapter of the GPAI Code of Practice, how often must Signatories conduct a Framework assessment of their Safety and Security Framework, at minimum?</t>
  </si>
  <si>
    <t xml:space="preserve">At least every 12 months starting from when they place the model on the market, or sooner if they have reasonable grounds to believe the Framework's adequacy or their adherence to it has been or will be materially undermined (e.g. a material change in how models are developed, a serious incident/near miss, or materially changed model capabilities).</t>
  </si>
  <si>
    <t xml:space="preserve">According to the Safety and Security Chapter of the GPAI Code of Practice, Signatories must conduct a Framework assessment **at least every 12 months starting from the placement of the model on the market, or sooner if circumstances warrant**.</t>
  </si>
  <si>
    <t xml:space="preserve">Matches, slightly condensed, rank 1.</t>
  </si>
  <si>
    <t xml:space="preserve">According to the Safety and Security Chapter of the GPAI Code of Practice, how quickly must Signatories give the AI Office access to their Safety and Security Framework after it is confirmed?</t>
  </si>
  <si>
    <t xml:space="preserve">Within five business days of the Framework (or an update to it) being confirmed, Signatories must provide the AI Office with unredacted access to it.</t>
  </si>
  <si>
    <t xml:space="preserve">The provided excerpts do not specify a required time‑frame for Signatories to give the AI Office access to their Safety and Security Framework after it is confirmed.</t>
  </si>
  <si>
    <t xml:space="preserve">VERIFIED: doc retrieved (rank 2/3, chunk_idx 31 &amp; 4) but neither retrieved chunk contains the 'five business days' fact from Measure 1.4; correct abstention given what was actually retrieved -- another chunk-level recall gap hidden behind a document-level hit.</t>
  </si>
  <si>
    <t xml:space="preserve">According to the Commission's GPAI scope guidelines, what FLOP threshold creates a presumption that a general-purpose AI model has systemic risk?</t>
  </si>
  <si>
    <t xml:space="preserve">A cumulative amount of computational resources used for training greater than 10^25 floating-point operations (FLOP) creates a presumption under Article 51(2) AI Act that the model is a general-purpose AI model with systemic risk.</t>
  </si>
  <si>
    <t xml:space="preserve">According to the Commission’s GPAI scope guidelines, a general‑purpose AI model that has been trained with a cumulative amount of computation exceeding **10 25 floating‑point operations (FLOP)** is presumed to have systemic risk.</t>
  </si>
  <si>
    <t xml:space="preserve">Correct (cosmetic-only exponent rendering), rank 1.</t>
  </si>
  <si>
    <t xml:space="preserve">According to the Commission's Article 50 transparency guidelines, is it sufficient for a provider to disclose that a chatbot is AI-powered only in its terms and conditions?</t>
  </si>
  <si>
    <t xml:space="preserve">No. The guidelines explicitly say that disclosures contained only in terms and conditions, URLs, or documentation are not sufficient by themselves to fulfil the Article 50(1) transparency obligation — such disclosures may complement but not replace an in-context disclosure at the point of interaction.</t>
  </si>
  <si>
    <t xml:space="preserve">No.  
The Commission’s Article 50 transparency guidelines state that a provider must “ensure that all relevant transparency obligations in Articles 50(1), (2) and (5) AI Act are met at the latest when those systems are placed on the market or put into service.”  The guidelines further explain that “all natural persons interacting with the AI system or exposed to its outputs in scope must be effectively and consistently informed throughout the lifecycle of the AI system.”  This means that simply mentioning in the terms and conditions that a chatbot is AI‑powered is **not** sufficient; the provider must provide clear, consistent, and ongoing disclosure to users during the interaction itself (e.g., at the point of use, in the interface, or in the content produced).</t>
  </si>
  <si>
    <t xml:space="preserve">Complete, quotes properly attributed, rank 1.</t>
  </si>
  <si>
    <t xml:space="preserve">According to the Commission's Article 50 transparency guidelines, does a machine-readable watermark on an AI-generated image satisfy the Article 50(1) obligation to inform a person they are interacting with an AI system?</t>
  </si>
  <si>
    <t xml:space="preserve">No. The guidelines state that machine-readable markings such as metadata or watermarks that are not perceivable by users at the point of interaction do not, by themselves, satisfy the Article 50(1) disclosure obligation (though such marks remain relevant and appropriate for the separate Article 50(2) marking/detection obligation for synthetic content).</t>
  </si>
  <si>
    <t xml:space="preserve">No.  
The Article 50(1) obligation requires that providers design the AI system so that the natural person is **informed that they are interacting with an AI system**. A machine‑readable watermark on an AI‑generated image is a marking of the output (Article 50(2)), not a notice that the user is interacting with an AI system. Therefore a watermark does not satisfy the Article 50(1) transparency requirement.</t>
  </si>
  <si>
    <t xml:space="preserve">Complete, clear reasoning, rank 1.</t>
  </si>
  <si>
    <t xml:space="preserve">According to the (second draft) Code of Practice on Transparency of AI-Generated Content, why do the drafters say a single active marking technique is not enough to meet Article 50(2)'s requirements?</t>
  </si>
  <si>
    <t xml:space="preserve">Because, as of drafting, no single active marking technique suffices to meet all four requirements of Article 50(2) AI Act at once — effectiveness, interoperability, robustness and reliability — which is why the Code calls for a multi-layered approach to technical marking solutions, which the drafters describe as the principal recognised way to reasonably comply with those four requirements.</t>
  </si>
  <si>
    <t xml:space="preserve">The drafters state that, at the time the Code was drafted, **no single active marking technique is sufficient to satisfy all four requirements of Article 50(2) of the AI Act**—effectiveness, interoperability, robustness, and reliability. Therefore, a multi‑layered approach, combining at least two machine‑readable marking techniques, is required to meet those requirements. This is explicitly mentioned in the excerpts from the Code of Practice, where it is noted that a multi‑layered marking approach is the “principal way of enabling reasonable compliance” with the four requirements.</t>
  </si>
  <si>
    <t xml:space="preserve">VERIFIED: 'at least two layers of machine-readable active marking' appears verbatim in the top-ranked chunk. Fully grounded, rank 1.</t>
  </si>
  <si>
    <t xml:space="preserve">If a company builds an AI-powered CV-screening tool that processes candidates' employment history and health-related disability accommodation notes to shortlist applicants, would this system trigger GDPR obligations in addition to the AI Act?</t>
  </si>
  <si>
    <t xml:space="preserve">Yes. The CV data (employment history, contact details) is 'personal data' under GDPR Article 4(1), and any disability-related information would be 'data concerning health', a special category of personal data whose processing is prohibited under Article 9(1) unless a specific exception in Article 9(2) applies (e.g. explicit consent). Separately, this is also a high-risk AI system under the AI Act (employment/recruitment use case), so both regimes apply cumulatively — GDPR governs the lawfulness of processing the personal/special-category data, while the AI Act governs the AI system's risk management, data governance, and transparency obligations.</t>
  </si>
  <si>
    <t xml:space="preserve">The excerpts state that the AI Act does **not** replace or remove the obligations that already exist under Union data‑protection law. In particular, the AI Act “does not affect the obligations of providers and deployers of AI systems in their role as data controllers or processors stemming from Union or national law on the protection of personal data” (see excerpt [4]).
Because the CV‑screening tool processes personal data that is directly related to candidates (employment history, health‑related disability accommodation notes, etc.), the company would be a data controller (or processor) under the GDPR. Therefore, in addition to any obligations that arise under the AI Act, the company would also have to comply with the GDPR’s requirements for lawful processing, transparency, data subject rights, data protection impact assessments, and so on.</t>
  </si>
  <si>
    <t xml:space="preserve">Correct top-level 'Yes, GDPR applies cumulatively' but misses the special-category/Article 9 health-data analysis and the AI Act high-risk employment classification the question specifically probes. Document-level retrieval miss.</t>
  </si>
  <si>
    <t xml:space="preserve">Does GDPR give a data subject any rights specifically about being subject to a fully automated hiring or credit-scoring decision made by an AI system?</t>
  </si>
  <si>
    <t xml:space="preserve">Yes. Article 22(1) GDPR gives the data subject the right not to be subject to a decision based solely on automated processing (including profiling) that produces legal effects or similarly significantly affects them, unless it falls under a listed exception (necessary for a contract, authorised by law with safeguards, or based on explicit consent). Where an exception applies, the controller must still implement safeguards, at minimum the right to obtain human intervention, to express a view, and to contest the decision (Article 22(3)).</t>
  </si>
  <si>
    <t xml:space="preserve">Yes.  
According to the GDPR (see § 22 in the provided excerpts), a data subject has the right **not to be subject to a decision that is based solely on automated processing and that produces legal effects or significantly affects them**. This includes decisions such as automated hiring or credit‑scoring that rely only on an AI system without any human intervention.</t>
  </si>
  <si>
    <t xml:space="preserve">Correct on Art 22(1) core right; omits Art 22(2) exceptions and Art 22(3) safeguards despite good retrieval (rank 1) -- extraction/completeness gap.</t>
  </si>
  <si>
    <t xml:space="preserve">Does deploying a high-risk AI system that does systematic, large-scale profiling of individuals require a GDPR Data Protection Impact Assessment (DPIA), separately from any AI Act obligations?</t>
  </si>
  <si>
    <t xml:space="preserve">Yes. Article 35(1) and (3)(a) GDPR require a DPIA prior to processing where a type of processing, in particular one using new technologies, is likely to result in a high risk to individuals' rights and freedoms — explicitly including a systematic and extensive evaluation of personal aspects based on automated processing, including profiling, that produces legal or similarly significant effects. This DPIA obligation exists independently of, and in addition to, the AI Act's own risk-management and conformity-assessment requirements for high-risk AI systems.</t>
  </si>
  <si>
    <t xml:space="preserve">Yes.  
According to the GDPR excerpts (see source [1] and source [3]), a data protection impact assessment (DPIA) is required **prior to processing** when the processing is likely to result in a high risk to the rights and freedoms of data subjects. The GDPR specifically lists “a systematic and extensive evaluation of personal aspects relating to natural persons which is based on automated processing, including profiling, and on which decisions are based that produce legal effects concerning the natural person” as a situation that triggers a DPIA (source [3] § 3.3 c).  
Therefore, deploying a high‑risk AI system that performs systematic, large‑scale profiling of individuals constitutes a processing activity that must be accompanied by a GDPR DPIA. This requirement is independent of any obligations under the EU AI Act; the AI Act imposes its own fundamental‑rights impact assessment, but the GDPR still requires a separate DPIA for the high‑risk profiling activity.</t>
  </si>
  <si>
    <t xml:space="preserve">Well-reasoned cross-document synthesis, rank 1.</t>
  </si>
  <si>
    <t xml:space="preserve">If an AI system used in recruitment processed special categories of personal data (e.g. data revealing racial or ethnic origin) to detect and correct algorithmic bias, is this permitted under GDPR on its own, or does something else need to apply?</t>
  </si>
  <si>
    <t xml:space="preserve">Processing special categories of personal data is prohibited by default under GDPR Article 9(1) unless one of the Article 9(2) exceptions applies (such as explicit consent). Separately, the AI Act's Article 10(5) creates a specific, narrow legal basis allowing providers of high-risk AI systems to process such special category data for bias detection and correction, but only where several strict conditions are all met (no viable alternative, technical/organisational safeguards, no third-party access, deletion once bias corrected, documented necessity) — and this is stated to apply 'in addition to' GDPR, not instead of it.</t>
  </si>
  <si>
    <t xml:space="preserve">Under the GDPR alone, the processing of special categories of personal data (such as data revealing racial or ethnic origin) is **not** permitted without a specific legal basis and without meeting the strict safeguards that the GDPR requires for special categories.  
The GDPR (Regulation (EU) 2016/679) allows processing of special categories only if one of the specific conditions in Article 9 applies, and even then the processing must be accompanied by appropriate safeguards (e.g., pseudonymisation, strict access controls, deletion after use, etc.).  
In the context of a high‑risk AI system used for recruitment, the GDPR by itself does **not** provide a blanket exception for using such data to detect and correct algorithmic bias. The AI Act (Regulation (EU) 2024/1689) introduces an **exceptional legal basis** that permits the processing of special categories of personal data *only when* it is strictly necessary for bias detection and correction, and only if all the conditions and safeguards listed in Article 10(5) (and the related provisions in Article 5) are met.  
Therefore, to process racial or ethnic origin data for bias detection and correction in a recruitment AI system, you would need to rely on the AI Act’s exceptional legal basis (or another specific GDPR exception that applies) and ensure that all the required safeguards and conditions are satisfied.</t>
  </si>
  <si>
    <t xml:space="preserve">Solid synthesis despite a document-level 'miss' on the labelled expected source -- the needed info was available via other retrieved chunks. Shows doc-level recall can understate real answer quality.</t>
  </si>
  <si>
    <t xml:space="preserve">Article 5(1)(h) of the AI Act prohibits real-time remote biometric identification in public spaces for law enforcement except in narrow cases. How does this provision interact with GDPR's rules on biometric data processing?</t>
  </si>
  <si>
    <t xml:space="preserve">Article 5(1) of the AI Act itself states that the prohibition (and its law-enforcement exceptions) is 'without prejudice to Article 9 of Regulation (EU) 2016/679 for the processing of biometric data for purposes other than law enforcement' — meaning GDPR's Article 9 special-category rules (which classify biometric data used for unique identification as a prohibited category absent an Article 9(2) exception) continue to apply in parallel wherever the processing isn't for law enforcement purposes covered by the AI Act's own carve-out.</t>
  </si>
  <si>
    <t xml:space="preserve">The AI Act’s Article 5(1)(h) sets a very specific, narrow exception for the use of real‑time remote biometric identification (R‑RBI) systems in publicly accessible spaces for law‑enforcement purposes.  The provision itself does not create a new legal basis for processing biometric data; instead, it explicitly states that any such use must still be carried out **in accordance with the rules on biometric data processing set out in Directive (​EU) 2016/680** (the “Biometric Data Directive”) and, where applicable, **in accordance with the GDPR (Regulation (​EU) 2016/679)**.
Key points from the excerpts:
| What the AI Act says | How it interacts with GDPR / Biometric Data Directive |
|----------------------|--------------------------------------------------------|
| **Article 5(1)(h) limits R‑RBI to very narrow law‑enforcement objectives** | The AI Act does **not** provide a new legal basis for processing biometric data.  The processing must still comply with the GDPR’s principles (lawfulness, fairness, transparency, purpose limitation, accuracy, storage limitation) and the specific safeguards of the Biometric Data Directive. |
| **Use of R‑RBI must be “strictly necessary” and subject to “appropriate safeguards”** | This mirrors the Biometric Data Directive’s requirement that biometric data may only be processed where strictly necessary, with safeguards for the rights and freedoms of the data subject, and only when authorised by Union or Member‑State law. |
| **Fundamental‑rights impact assessment (Article 27) and registration in the EU database (Article 49)** | These steps are additional safeguards that complement the GDPR’s accountability and transparency obligations. |
| **Prior authorisation by a judicial or independent administrative authority** | This requirement is a procedural safeguard that aligns with the GDPR’s emphasis on lawful basis and accountability. |
In short, Article 5(1)(h) does **not** override or replace GDPR rules on biometric data processing.  It merely adds a specific, narrowly defined exception for law‑enforcement use of R‑RBI systems, and it requires that such use still be fully compliant with the GDPR and the Biometric Data Directive’s stringent safeguards.</t>
  </si>
  <si>
    <t xml:space="preserve">MAJOR FINDING (verified against full chunk text): fabricates a framing around 'Directive 2016/680' as the 'Biometric Data Directive' and never surfaces the correct answer -- GDPR Art. 9's 'without prejudice' clause -- despite that exact clause appearing verbatim in TWO retrieved chunks (rank 3 of the AI Act doc, and rank 4/5 of the expected source). Confident, well-formatted, and substantively wrong; a textbook low-faithfulness case with good context available.</t>
  </si>
  <si>
    <t xml:space="preserve">The AI Act Service Desk's summary of Article 113 says the Regulation 'shall apply from 2 August 2026', with earlier dates for certain chapters. Does the AI Act's own primary regulatory text (not just the Service Desk summary) confirm this same set of staggered dates?</t>
  </si>
  <si>
    <t xml:space="preserve">Yes. The primary EUR-Lex text of Regulation (EU) 2024/1689, Article 113, matches the Service Desk summary exactly: the Regulation enters into force 20 days after publication, applies generally from 2 August 2026, except Chapters I and II apply from 2 February 2025, Chapter III Section 4 / Chapter V / Chapter VII / Chapter XII and Article 78 apply from 2 August 2025 (except Article 101), and Article 6(1) with its corresponding obligations applies from 2 August 2027.</t>
  </si>
  <si>
    <t xml:space="preserve">Yes. The primary regulatory text of the AI Act itself contains the same staggered entry‑into‑force dates that the Service Desk summary cites.
* **Article 113 of the Regulation (EU 2024/1689)** –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
These provisions are part of the official text of the Regulation (source [1]), confirming the staggered dates that the Service Desk summary also reports.</t>
  </si>
  <si>
    <t xml:space="preserve">Verbatim primary-text quote, fully consistent, rank 3.</t>
  </si>
  <si>
    <t xml:space="preserve">Article 53(1)(d) of the AI Act requires GPAI providers to publish a training-data-content summary 'according to a template provided by the AI Office.' Does the GPAI Code of Practice's Transparency Chapter clarify how this training-content-summary obligation relates to the more detailed Model Documentation Signatories must keep?</t>
  </si>
  <si>
    <t xml:space="preserve">Yes. The Transparency Chapter notes that some of the information documented in the (non-public) Model Documentation under Measure 1.1 may also be required, in summarised form, as part of the separate publicly available training-content summary required under Article 53(1)(d) — i.e. the two obligations are related but distinct: full documentation goes to the AI Office/downstream providers on request, while a summarised, public-facing version covers the training-content-summary duty.</t>
  </si>
  <si>
    <t xml:space="preserve">The Transparency Chapter does **not** replace the requirement to keep a detailed Model Documentation Form.  
Instead, it states that the information contained in the Model Documentation can be used **in a summarized form** for the public‑facing “training‑data‑content summary” that providers must publish under Article 53(1)(d). In other words:
* **Model Documentation** – a comprehensive, up‑to‑date record (the Model Documentation Form) that must be kept by the provider and supplied to downstream providers and the AI Office when requested.  
* **Training‑data‑content summary** – a separate, publicly available summary that follows a template supplied by the AI Office. The Transparency Chapter indicates that this summary may draw on the same underlying information that is in the Model Documentation, but it is a distinct, more concise, public disclosure.
So the Chapter clarifies that the two obligations are complementary: the detailed documentation is kept for compliance and regulatory purposes, while the summary is a public, template‑based disclosure that can be derived from that documentation.</t>
  </si>
  <si>
    <t xml:space="preserve">Good cross-document synthesis, rank 1.</t>
  </si>
  <si>
    <t xml:space="preserve">The AI Act Service Desk's Article 53 page mentions that open-source GPAI providers are exempt from Article 53(1)(a) and (b) unless the model has systemic risk. Where in the primary AI Act regulation text is this exception actually written, and does it match the Service Desk's summary?</t>
  </si>
  <si>
    <t xml:space="preserve">Yes, it matches. Article 53(2) of the primary AI Act text (also present verbatim in the EUR-Lex source) states that the obligations in Article 53(1) points (a) and (b) do not apply to providers of AI models released under a free and open-source licence that allows access, usage, modification and distribution, and whose parameters (including weights), architecture information, and usage information are publicly available — and explicitly states this exception does not apply to general-purpose AI models with systemic risk.</t>
  </si>
  <si>
    <t xml:space="preserve">**Where the exception is written in the primary AI Act text**
The exception for providers of general‑purpose AI (GPAI) models that are released under a free and open‑source licence is set out in the **AI Act itself** in the following provisions:
| Provision | Text (excerpt) | What it covers |
|-----------|----------------|----------------|
| **Article 53(2)** | “The obligations set out in Article 53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model is a general‑purpose AI model with systemic risk**.” | This is the core wording that exempts open‑source GPAI providers from the obligations in Article 53(1)(a) and (b) unless the model is deemed to have systemic risk. |
| **Article 54(6)** | “The obligations set out in Article 54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**unless the model is a general‑purpose AI model with systemic risk**.” | This mirrors the same exception for the obligations in Article 54 (e.g., appointing an authorised representative). |
These two articles are the only places in the primary regulation where the exception is explicitly written.
**Does this match the Service Desk’s summary?**
Yes. The Service Desk’s Article 53 page correctly states that:
* “Open‑source GPAI providers are exempt from Article 53(1)(a) and (b) **unless the model has systemic risk**.”
This is precisely what Article 53(2) says. The Service Desk also notes that the same exception applies to Article 54 obligations, which is reflected in Article 54(6). Therefore, the Service Desk’s summary is consistent with the wording in the primary AI Act regulation.</t>
  </si>
  <si>
    <t xml:space="preserve">Correct, thorough (Art 53(2) verbatim + correct Art 54(6) parallel). Document-level 'miss' on labelled expected source, yet the correct clause was found via other retrieved chunks.</t>
  </si>
  <si>
    <t xml:space="preserve">The Commission's GPAI scope guidelines describe an open-source exemption from Article 53(1)(a)-(b). Which article of the AI Act's own text, as also captured in the Service Desk's Article 53 page, establishes this exemption, and what condition removes it?</t>
  </si>
  <si>
    <t xml:space="preserve">Article 53(2) AI Act establishes the exemption for free-and-open-source-licensed GPAI models with publicly available parameters/weights/architecture/usage information; the condition that removes the exemption, per both the primary text and the Service Desk summary, is that the model is classified as a general-purpose AI model with systemic risk — in which case the open-source exemption from documentation obligations (a) and (b) no longer applies.</t>
  </si>
  <si>
    <t xml:space="preserve">The exemption is set out in **Article 53(1)(a) and (b) of the AI Act** itself – the same provisions that the Service Desk’s Article 53 page lists.  
The condition that removes the exemption is that the model **is a general‑purpose AI model with systemic risk**. If the model falls into that category, the exemption does not apply.</t>
  </si>
  <si>
    <t xml:space="preserve">MAJOR FINDING: misidentifies the exemption as sitting in Art 53(1)(a)/(b) itself, when it is actually Art 53(2) -- directly contradicting the SAME system's correct citation of Art 53(2) in record 38. A clear self-consistency failure on an adjacent question. The 'systemic risk removes exemption' half is correct.</t>
  </si>
  <si>
    <t xml:space="preserve">A provider wants to know whether their chatbot needs both an Article 50(1) 'you are talking to an AI' disclosure and a GDPR Article 13/14 information notice. Do these two obligations serve the same purpose, or are they distinct requirements that could both apply to the same system?</t>
  </si>
  <si>
    <t xml:space="preserve">They are distinct and can both apply. Article 50(1) AI Act requires disclosing the fact of interacting with an AI system itself (a transparency-of-AI-nature obligation), while GDPR Articles 13/14 require informing data subjects about the processing of their personal data (identity of controller, purposes, legal basis, retention, rights, and — per Article 13(2)(f)/14(2)(g) — the existence of automated decision-making/profiling under Article 22 and meaningful information about its logic). A chatbot that also processes personal data would need to satisfy both notice regimes, which cover different information.</t>
  </si>
  <si>
    <t xml:space="preserve">The two obligations are **distinct** and can both apply to the same system.
* **Article 50(1) AI Act** – requires that any AI system that directly interacts with a natural person must inform that person that they are interacting with an AI system (“you are talking to an AI”). This is a specific transparency requirement that applies to the AI system itself.
* **GDPR Articles 13/14** – require that data subjects receive information about the processing of their personal data (purpose, legal basis, rights, etc.). This is a separate data‑protection information obligation.
The guidance states that the transparency obligation under Article 50(1) “applies without prejudice to Union data protection law” (see context excerpts [3] and [4]). Therefore, the AI‑specific disclosure and the GDPR information notice serve different purposes and can both be required for the same chatbot.</t>
  </si>
  <si>
    <t xml:space="preserve">Correct on the top-level distinctness of the two obligations; misses the Art 13(2)(f)/14(2)(g) automated-decision-making notice link that the multi-hop question is really testing. Document-level retrieval miss; thin citation set (n=1).</t>
  </si>
  <si>
    <t xml:space="preserve">AVG / TOTAL</t>
  </si>
</sst>
</file>

<file path=xl/styles.xml><?xml version="1.0" encoding="utf-8"?>
<styleSheet xmlns="http://schemas.openxmlformats.org/spreadsheetml/2006/main">
  <numFmts count="5">
    <numFmt numFmtId="164" formatCode="General"/>
    <numFmt numFmtId="165" formatCode="0.0%"/>
    <numFmt numFmtId="166" formatCode="0.00"/>
    <numFmt numFmtId="167" formatCode="General"/>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2"/>
      <color rgb="FF1F4E78"/>
      <name val="Arial"/>
      <family val="0"/>
      <charset val="1"/>
    </font>
    <font>
      <b val="true"/>
      <sz val="10"/>
      <color rgb="FFFFFFFF"/>
      <name val="Arial"/>
      <family val="0"/>
      <charset val="1"/>
    </font>
    <font>
      <b val="true"/>
      <sz val="10"/>
      <name val="Arial"/>
      <family val="0"/>
      <charset val="1"/>
    </font>
    <font>
      <sz val="10"/>
      <name val="Arial"/>
      <family val="0"/>
      <charset val="1"/>
    </font>
    <font>
      <sz val="9"/>
      <name val="Arial"/>
      <family val="0"/>
      <charset val="1"/>
    </font>
    <font>
      <b val="true"/>
      <sz val="9"/>
      <name val="Arial"/>
      <family val="0"/>
      <charset val="1"/>
    </font>
  </fonts>
  <fills count="13">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FFF2CC"/>
        <bgColor rgb="FFFCE4D6"/>
      </patternFill>
    </fill>
    <fill>
      <patternFill patternType="solid">
        <fgColor rgb="FFDDEBF7"/>
        <bgColor rgb="FFE2EFDA"/>
      </patternFill>
    </fill>
    <fill>
      <patternFill patternType="solid">
        <fgColor rgb="FFFCE4D6"/>
        <bgColor rgb="FFFFF2CC"/>
      </patternFill>
    </fill>
    <fill>
      <patternFill patternType="solid">
        <fgColor rgb="FFC6E0B4"/>
        <bgColor rgb="FFD9D9D9"/>
      </patternFill>
    </fill>
    <fill>
      <patternFill patternType="solid">
        <fgColor rgb="FFFFE699"/>
        <bgColor rgb="FFFFF2CC"/>
      </patternFill>
    </fill>
    <fill>
      <patternFill patternType="solid">
        <fgColor rgb="FFFFD966"/>
        <bgColor rgb="FFFFE699"/>
      </patternFill>
    </fill>
    <fill>
      <patternFill patternType="solid">
        <fgColor rgb="FFF4B183"/>
        <bgColor rgb="FFF8CBAD"/>
      </patternFill>
    </fill>
    <fill>
      <patternFill patternType="solid">
        <fgColor rgb="FFF8CBAD"/>
        <bgColor rgb="FFFFE699"/>
      </patternFill>
    </fill>
    <fill>
      <patternFill patternType="solid">
        <fgColor rgb="FFFF7C80"/>
        <bgColor rgb="FFF4B18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false" applyProtection="false">
      <alignment horizontal="general" vertical="bottom" textRotation="0" wrapText="false" indent="0" shrinkToFit="false"/>
      <protection locked="true" hidden="false"/>
    </xf>
    <xf numFmtId="164" fontId="9" fillId="11" borderId="1" xfId="0" applyFont="true" applyBorder="true" applyAlignment="false" applyProtection="false">
      <alignment horizontal="general" vertical="bottom" textRotation="0" wrapText="false" indent="0" shrinkToFit="false"/>
      <protection locked="true" hidden="false"/>
    </xf>
    <xf numFmtId="164" fontId="9" fillId="1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top" textRotation="0" wrapText="tru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8" fontId="10" fillId="0" borderId="2" xfId="0" applyFont="true" applyBorder="true" applyAlignment="true" applyProtection="false">
      <alignment horizontal="center" vertical="top" textRotation="0" wrapText="true" indent="0" shrinkToFit="false"/>
      <protection locked="true" hidden="false"/>
    </xf>
    <xf numFmtId="166" fontId="10" fillId="0" borderId="2" xfId="0" applyFont="true" applyBorder="true" applyAlignment="true" applyProtection="false">
      <alignment horizontal="center" vertical="top"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center" vertical="bottom" textRotation="0" wrapText="false" indent="0" shrinkToFit="false"/>
      <protection locked="true" hidden="false"/>
    </xf>
    <xf numFmtId="165" fontId="11" fillId="0" borderId="2" xfId="0" applyFont="true" applyBorder="true" applyAlignment="true" applyProtection="false">
      <alignment horizontal="center"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8" fontId="11" fillId="0"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0B4"/>
        </patternFill>
      </fill>
    </dxf>
    <dxf>
      <fill>
        <patternFill>
          <bgColor rgb="FFFFE699"/>
        </patternFill>
      </fill>
    </dxf>
    <dxf>
      <fill>
        <patternFill>
          <bgColor rgb="FFFFD966"/>
        </patternFill>
      </fill>
    </dxf>
    <dxf>
      <fill>
        <patternFill>
          <bgColor rgb="FFF4B183"/>
        </patternFill>
      </fill>
    </dxf>
    <dxf>
      <fill>
        <patternFill>
          <bgColor rgb="FFF8CBAD"/>
        </patternFill>
      </fill>
    </dxf>
    <dxf>
      <fill>
        <patternFill>
          <bgColor rgb="FFFF7C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7C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E699"/>
      <rgbColor rgb="FFFCE4D6"/>
      <rgbColor rgb="FFF4B183"/>
      <rgbColor rgb="FFCC99FF"/>
      <rgbColor rgb="FFF8CBAD"/>
      <rgbColor rgb="FF3366FF"/>
      <rgbColor rgb="FF33CCCC"/>
      <rgbColor rgb="FF99CC00"/>
      <rgbColor rgb="FFFFD966"/>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5"/>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15" hidden="false" customHeight="false" outlineLevel="0" collapsed="false">
      <c r="A6" s="5" t="s">
        <v>6</v>
      </c>
      <c r="B6" s="6" t="n">
        <f aca="false">'Per-Item Scores'!F44</f>
        <v>0.829268292682927</v>
      </c>
      <c r="C6" s="7" t="s">
        <v>7</v>
      </c>
      <c r="D6" s="7"/>
      <c r="E6" s="7"/>
      <c r="F6" s="7"/>
      <c r="G6" s="7"/>
      <c r="H6" s="7"/>
    </row>
    <row r="7" customFormat="false" ht="15" hidden="false" customHeight="false" outlineLevel="0" collapsed="false">
      <c r="A7" s="5" t="s">
        <v>8</v>
      </c>
      <c r="B7" s="8" t="n">
        <f aca="false">'Per-Item Scores'!H44</f>
        <v>0.559751219512195</v>
      </c>
      <c r="C7" s="7" t="s">
        <v>9</v>
      </c>
      <c r="D7" s="7"/>
      <c r="E7" s="7"/>
      <c r="F7" s="7"/>
      <c r="G7" s="7"/>
      <c r="H7" s="7"/>
    </row>
    <row r="8" customFormat="false" ht="15" hidden="false" customHeight="false" outlineLevel="0" collapsed="false">
      <c r="A8" s="5" t="s">
        <v>10</v>
      </c>
      <c r="B8" s="6" t="n">
        <f aca="false">'Per-Item Scores'!I44</f>
        <v>0.829268292682927</v>
      </c>
      <c r="C8" s="7" t="s">
        <v>11</v>
      </c>
      <c r="D8" s="7"/>
      <c r="E8" s="7"/>
      <c r="F8" s="7"/>
      <c r="G8" s="7"/>
      <c r="H8" s="7"/>
    </row>
    <row r="9" customFormat="false" ht="15" hidden="false" customHeight="false" outlineLevel="0" collapsed="false">
      <c r="A9" s="5" t="s">
        <v>12</v>
      </c>
      <c r="B9" s="8" t="n">
        <f aca="false">'Per-Item Scores'!K44</f>
        <v>0.958536585365854</v>
      </c>
      <c r="C9" s="7" t="s">
        <v>13</v>
      </c>
      <c r="D9" s="7"/>
      <c r="E9" s="7"/>
      <c r="F9" s="7"/>
      <c r="G9" s="7"/>
      <c r="H9" s="7"/>
    </row>
    <row r="10" customFormat="false" ht="15" hidden="false" customHeight="false" outlineLevel="0" collapsed="false">
      <c r="A10" s="5" t="s">
        <v>14</v>
      </c>
      <c r="B10" s="8" t="n">
        <f aca="false">'Per-Item Scores'!L44</f>
        <v>0.780487804878049</v>
      </c>
      <c r="C10" s="7" t="s">
        <v>15</v>
      </c>
      <c r="D10" s="7"/>
      <c r="E10" s="7"/>
      <c r="F10" s="7"/>
      <c r="G10" s="7"/>
      <c r="H10" s="7"/>
    </row>
    <row r="11" customFormat="false" ht="15" hidden="false" customHeight="false" outlineLevel="0" collapsed="false">
      <c r="A11" s="5" t="s">
        <v>16</v>
      </c>
      <c r="B11" s="8" t="n">
        <f aca="false">1</f>
        <v>1</v>
      </c>
      <c r="C11" s="7" t="s">
        <v>17</v>
      </c>
      <c r="D11" s="7"/>
      <c r="E11" s="7"/>
      <c r="F11" s="7"/>
      <c r="G11" s="7"/>
      <c r="H11" s="7"/>
    </row>
    <row r="13" customFormat="false" ht="15" hidden="false" customHeight="false" outlineLevel="0" collapsed="false">
      <c r="A13" s="3" t="s">
        <v>18</v>
      </c>
    </row>
    <row r="14" customFormat="false" ht="23.85" hidden="false" customHeight="false" outlineLevel="0" collapsed="false">
      <c r="A14" s="9" t="s">
        <v>19</v>
      </c>
      <c r="B14" s="9" t="s">
        <v>20</v>
      </c>
      <c r="C14" s="9" t="s">
        <v>21</v>
      </c>
      <c r="D14" s="9" t="s">
        <v>22</v>
      </c>
      <c r="E14" s="9" t="s">
        <v>23</v>
      </c>
      <c r="F14" s="9" t="s">
        <v>24</v>
      </c>
      <c r="G14" s="9" t="s">
        <v>25</v>
      </c>
    </row>
    <row r="15" customFormat="false" ht="15" hidden="false" customHeight="false" outlineLevel="0" collapsed="false">
      <c r="A15" s="10" t="s">
        <v>26</v>
      </c>
      <c r="B15" s="11" t="n">
        <f aca="false">COUNTIF('Per-Item Scores'!B2:B42,A15)</f>
        <v>28</v>
      </c>
      <c r="C15" s="6" t="n">
        <f aca="false">AVERAGEIF('Per-Item Scores'!B2:B42,A15,'Per-Item Scores'!F2:F42)</f>
        <v>0.928571428571429</v>
      </c>
      <c r="D15" s="8" t="n">
        <f aca="false">AVERAGEIF('Per-Item Scores'!B2:B42,A15,'Per-Item Scores'!H2:H42)</f>
        <v>0.670828571428571</v>
      </c>
      <c r="E15" s="6" t="n">
        <f aca="false">AVERAGEIF('Per-Item Scores'!B2:B42,A15,'Per-Item Scores'!I2:I42)</f>
        <v>0.928571428571429</v>
      </c>
      <c r="F15" s="8" t="n">
        <f aca="false">AVERAGEIF('Per-Item Scores'!B2:B42,A15,'Per-Item Scores'!K2:K42)</f>
        <v>1</v>
      </c>
      <c r="G15" s="8" t="n">
        <f aca="false">AVERAGEIF('Per-Item Scores'!B2:B42,A15,'Per-Item Scores'!L2:L42)</f>
        <v>0.857142857142857</v>
      </c>
    </row>
    <row r="16" customFormat="false" ht="15" hidden="false" customHeight="false" outlineLevel="0" collapsed="false">
      <c r="A16" s="12" t="s">
        <v>27</v>
      </c>
      <c r="B16" s="11" t="n">
        <f aca="false">COUNTIF('Per-Item Scores'!B2:B42,A16)</f>
        <v>3</v>
      </c>
      <c r="C16" s="6" t="n">
        <f aca="false">AVERAGEIF('Per-Item Scores'!B2:B42,A16,'Per-Item Scores'!F2:F42)</f>
        <v>0.333333333333333</v>
      </c>
      <c r="D16" s="8" t="n">
        <f aca="false">AVERAGEIF('Per-Item Scores'!B2:B42,A16,'Per-Item Scores'!H2:H42)</f>
        <v>0.166666666666667</v>
      </c>
      <c r="E16" s="6" t="n">
        <f aca="false">AVERAGEIF('Per-Item Scores'!B2:B42,A16,'Per-Item Scores'!I2:I42)</f>
        <v>0.333333333333333</v>
      </c>
      <c r="F16" s="8" t="n">
        <f aca="false">AVERAGEIF('Per-Item Scores'!B2:B42,A16,'Per-Item Scores'!K2:K42)</f>
        <v>0.833333333333333</v>
      </c>
      <c r="G16" s="8" t="n">
        <f aca="false">AVERAGEIF('Per-Item Scores'!B2:B42,A16,'Per-Item Scores'!L2:L42)</f>
        <v>0.433333333333333</v>
      </c>
    </row>
    <row r="17" customFormat="false" ht="15" hidden="false" customHeight="false" outlineLevel="0" collapsed="false">
      <c r="A17" s="13" t="s">
        <v>28</v>
      </c>
      <c r="B17" s="11" t="n">
        <f aca="false">COUNTIF('Per-Item Scores'!B2:B42,A17)</f>
        <v>8</v>
      </c>
      <c r="C17" s="6" t="n">
        <f aca="false">AVERAGEIF('Per-Item Scores'!B2:B42,A17,'Per-Item Scores'!F2:F42)</f>
        <v>0.625</v>
      </c>
      <c r="D17" s="8" t="n">
        <f aca="false">AVERAGEIF('Per-Item Scores'!B2:B42,A17,'Per-Item Scores'!H2:H42)</f>
        <v>0.3541625</v>
      </c>
      <c r="E17" s="6" t="n">
        <f aca="false">AVERAGEIF('Per-Item Scores'!B2:B42,A17,'Per-Item Scores'!I2:I42)</f>
        <v>0.625</v>
      </c>
      <c r="F17" s="8" t="n">
        <f aca="false">AVERAGEIF('Per-Item Scores'!B2:B42,A17,'Per-Item Scores'!K2:K42)</f>
        <v>0.85</v>
      </c>
      <c r="G17" s="8" t="n">
        <f aca="false">AVERAGEIF('Per-Item Scores'!B2:B42,A17,'Per-Item Scores'!L2:L42)</f>
        <v>0.74375</v>
      </c>
    </row>
    <row r="18" customFormat="false" ht="15" hidden="false" customHeight="false" outlineLevel="0" collapsed="false">
      <c r="A18" s="14" t="s">
        <v>29</v>
      </c>
      <c r="B18" s="11" t="n">
        <f aca="false">COUNTIF('Per-Item Scores'!B2:B42,A18)</f>
        <v>2</v>
      </c>
      <c r="C18" s="6" t="n">
        <f aca="false">AVERAGEIF('Per-Item Scores'!B2:B42,A18,'Per-Item Scores'!F2:F42)</f>
        <v>1</v>
      </c>
      <c r="D18" s="8" t="n">
        <f aca="false">AVERAGEIF('Per-Item Scores'!B2:B42,A18,'Per-Item Scores'!H2:H42)</f>
        <v>0.41665</v>
      </c>
      <c r="E18" s="6" t="n">
        <f aca="false">AVERAGEIF('Per-Item Scores'!B2:B42,A18,'Per-Item Scores'!I2:I42)</f>
        <v>1</v>
      </c>
      <c r="F18" s="8" t="n">
        <f aca="false">AVERAGEIF('Per-Item Scores'!B2:B42,A18,'Per-Item Scores'!K2:K42)</f>
        <v>1</v>
      </c>
      <c r="G18" s="8" t="n">
        <f aca="false">AVERAGEIF('Per-Item Scores'!B2:B42,A18,'Per-Item Scores'!L2:L42)</f>
        <v>0.375</v>
      </c>
    </row>
    <row r="19" customFormat="false" ht="15" hidden="false" customHeight="false" outlineLevel="0" collapsed="false">
      <c r="A19" s="5" t="s">
        <v>30</v>
      </c>
      <c r="B19" s="15" t="n">
        <f aca="false">SUM(B15:B18)</f>
        <v>41</v>
      </c>
      <c r="C19" s="16" t="n">
        <f aca="false">AVERAGE('Per-Item Scores'!F2:F42)</f>
        <v>0.829268292682927</v>
      </c>
      <c r="D19" s="17" t="n">
        <f aca="false">AVERAGE('Per-Item Scores'!H2:H42)</f>
        <v>0.559751219512195</v>
      </c>
      <c r="E19" s="16" t="n">
        <f aca="false">AVERAGE('Per-Item Scores'!I2:I42)</f>
        <v>0.829268292682927</v>
      </c>
      <c r="F19" s="17" t="n">
        <f aca="false">AVERAGE('Per-Item Scores'!K2:K42)</f>
        <v>0.958536585365854</v>
      </c>
      <c r="G19" s="17" t="n">
        <f aca="false">AVERAGE('Per-Item Scores'!L2:L42)</f>
        <v>0.780487804878049</v>
      </c>
    </row>
    <row r="21" customFormat="false" ht="15" hidden="false" customHeight="false" outlineLevel="0" collapsed="false">
      <c r="A21" s="3" t="s">
        <v>31</v>
      </c>
    </row>
    <row r="22" customFormat="false" ht="15" hidden="false" customHeight="false" outlineLevel="0" collapsed="false">
      <c r="A22" s="4" t="s">
        <v>32</v>
      </c>
      <c r="B22" s="4" t="s">
        <v>33</v>
      </c>
      <c r="C22" s="4" t="s">
        <v>34</v>
      </c>
    </row>
    <row r="23" customFormat="false" ht="15" hidden="false" customHeight="false" outlineLevel="0" collapsed="false">
      <c r="A23" s="18" t="s">
        <v>35</v>
      </c>
      <c r="B23" s="11" t="n">
        <f aca="false">COUNTIF('Per-Item Scores'!M2:M42,A23)</f>
        <v>27</v>
      </c>
      <c r="C23" s="6" t="n">
        <f aca="false">B23/41</f>
        <v>0.658536585365854</v>
      </c>
    </row>
    <row r="24" customFormat="false" ht="15" hidden="false" customHeight="false" outlineLevel="0" collapsed="false">
      <c r="A24" s="19" t="s">
        <v>36</v>
      </c>
      <c r="B24" s="11" t="n">
        <f aca="false">COUNTIF('Per-Item Scores'!M2:M42,A24)</f>
        <v>1</v>
      </c>
      <c r="C24" s="6" t="n">
        <f aca="false">B24/41</f>
        <v>0.024390243902439</v>
      </c>
    </row>
    <row r="25" customFormat="false" ht="15" hidden="false" customHeight="false" outlineLevel="0" collapsed="false">
      <c r="A25" s="19" t="s">
        <v>37</v>
      </c>
      <c r="B25" s="11" t="n">
        <f aca="false">COUNTIF('Per-Item Scores'!M2:M42,A25)</f>
        <v>1</v>
      </c>
      <c r="C25" s="6" t="n">
        <f aca="false">B25/41</f>
        <v>0.024390243902439</v>
      </c>
    </row>
    <row r="26" customFormat="false" ht="15" hidden="false" customHeight="false" outlineLevel="0" collapsed="false">
      <c r="A26" s="20" t="s">
        <v>38</v>
      </c>
      <c r="B26" s="11" t="n">
        <f aca="false">COUNTIF('Per-Item Scores'!M2:M42,A26)</f>
        <v>6</v>
      </c>
      <c r="C26" s="6" t="n">
        <f aca="false">B26/41</f>
        <v>0.146341463414634</v>
      </c>
    </row>
    <row r="27" customFormat="false" ht="15" hidden="false" customHeight="false" outlineLevel="0" collapsed="false">
      <c r="A27" s="21" t="s">
        <v>39</v>
      </c>
      <c r="B27" s="11" t="n">
        <f aca="false">COUNTIF('Per-Item Scores'!M2:M42,A27)</f>
        <v>1</v>
      </c>
      <c r="C27" s="6" t="n">
        <f aca="false">B27/41</f>
        <v>0.024390243902439</v>
      </c>
    </row>
    <row r="28" customFormat="false" ht="15" hidden="false" customHeight="false" outlineLevel="0" collapsed="false">
      <c r="A28" s="22" t="s">
        <v>40</v>
      </c>
      <c r="B28" s="11" t="n">
        <f aca="false">COUNTIF('Per-Item Scores'!M2:M42,A28)</f>
        <v>4</v>
      </c>
      <c r="C28" s="6" t="n">
        <f aca="false">B28/41</f>
        <v>0.0975609756097561</v>
      </c>
    </row>
    <row r="29" customFormat="false" ht="15" hidden="false" customHeight="false" outlineLevel="0" collapsed="false">
      <c r="A29" s="23" t="s">
        <v>41</v>
      </c>
      <c r="B29" s="11" t="n">
        <f aca="false">COUNTIF('Per-Item Scores'!M2:M42,A29)</f>
        <v>1</v>
      </c>
      <c r="C29" s="6" t="n">
        <f aca="false">B29/41</f>
        <v>0.024390243902439</v>
      </c>
    </row>
    <row r="30" customFormat="false" ht="15" hidden="false" customHeight="false" outlineLevel="0" collapsed="false">
      <c r="A30" s="5" t="s">
        <v>42</v>
      </c>
      <c r="B30" s="15" t="n">
        <f aca="false">SUM(B23:B29)</f>
        <v>41</v>
      </c>
      <c r="C30" s="16" t="n">
        <f aca="false">SUM(C23:C29)</f>
        <v>1</v>
      </c>
    </row>
    <row r="32" customFormat="false" ht="15" hidden="false" customHeight="false" outlineLevel="0" collapsed="false">
      <c r="A32" s="3" t="s">
        <v>43</v>
      </c>
    </row>
    <row r="33" customFormat="false" ht="15" hidden="false" customHeight="false" outlineLevel="0" collapsed="false">
      <c r="A33" s="24" t="s">
        <v>44</v>
      </c>
      <c r="B33" s="24"/>
      <c r="C33" s="24"/>
      <c r="D33" s="24"/>
      <c r="E33" s="24"/>
      <c r="F33" s="24"/>
      <c r="G33" s="24"/>
      <c r="H33" s="24"/>
    </row>
    <row r="34" customFormat="false" ht="48" hidden="false" customHeight="true" outlineLevel="0" collapsed="false">
      <c r="A34" s="25" t="s">
        <v>45</v>
      </c>
      <c r="B34" s="25"/>
      <c r="C34" s="25"/>
      <c r="D34" s="25"/>
      <c r="E34" s="25"/>
      <c r="F34" s="25"/>
      <c r="G34" s="25"/>
      <c r="H34" s="25"/>
    </row>
    <row r="36" customFormat="false" ht="15" hidden="false" customHeight="false" outlineLevel="0" collapsed="false">
      <c r="A36" s="24" t="s">
        <v>46</v>
      </c>
      <c r="B36" s="24"/>
      <c r="C36" s="24"/>
      <c r="D36" s="24"/>
      <c r="E36" s="24"/>
      <c r="F36" s="24"/>
      <c r="G36" s="24"/>
      <c r="H36" s="24"/>
    </row>
    <row r="37" customFormat="false" ht="48" hidden="false" customHeight="true" outlineLevel="0" collapsed="false">
      <c r="A37" s="25" t="s">
        <v>47</v>
      </c>
      <c r="B37" s="25"/>
      <c r="C37" s="25"/>
      <c r="D37" s="25"/>
      <c r="E37" s="25"/>
      <c r="F37" s="25"/>
      <c r="G37" s="25"/>
      <c r="H37" s="25"/>
    </row>
    <row r="39" customFormat="false" ht="15" hidden="false" customHeight="false" outlineLevel="0" collapsed="false">
      <c r="A39" s="24" t="s">
        <v>48</v>
      </c>
      <c r="B39" s="24"/>
      <c r="C39" s="24"/>
      <c r="D39" s="24"/>
      <c r="E39" s="24"/>
      <c r="F39" s="24"/>
      <c r="G39" s="24"/>
      <c r="H39" s="24"/>
    </row>
    <row r="40" customFormat="false" ht="48" hidden="false" customHeight="true" outlineLevel="0" collapsed="false">
      <c r="A40" s="25" t="s">
        <v>49</v>
      </c>
      <c r="B40" s="25"/>
      <c r="C40" s="25"/>
      <c r="D40" s="25"/>
      <c r="E40" s="25"/>
      <c r="F40" s="25"/>
      <c r="G40" s="25"/>
      <c r="H40" s="25"/>
    </row>
    <row r="42" customFormat="false" ht="15" hidden="false" customHeight="false" outlineLevel="0" collapsed="false">
      <c r="A42" s="24" t="s">
        <v>50</v>
      </c>
      <c r="B42" s="24"/>
      <c r="C42" s="24"/>
      <c r="D42" s="24"/>
      <c r="E42" s="24"/>
      <c r="F42" s="24"/>
      <c r="G42" s="24"/>
      <c r="H42" s="24"/>
    </row>
    <row r="43" customFormat="false" ht="48" hidden="false" customHeight="true" outlineLevel="0" collapsed="false">
      <c r="A43" s="25" t="s">
        <v>51</v>
      </c>
      <c r="B43" s="25"/>
      <c r="C43" s="25"/>
      <c r="D43" s="25"/>
      <c r="E43" s="25"/>
      <c r="F43" s="25"/>
      <c r="G43" s="25"/>
      <c r="H43" s="25"/>
    </row>
    <row r="45" customFormat="false" ht="15" hidden="false" customHeight="false" outlineLevel="0" collapsed="false">
      <c r="A45" s="24" t="s">
        <v>52</v>
      </c>
      <c r="B45" s="24"/>
      <c r="C45" s="24"/>
      <c r="D45" s="24"/>
      <c r="E45" s="24"/>
      <c r="F45" s="24"/>
      <c r="G45" s="24"/>
      <c r="H45" s="24"/>
    </row>
    <row r="46" customFormat="false" ht="48" hidden="false" customHeight="true" outlineLevel="0" collapsed="false">
      <c r="A46" s="25" t="s">
        <v>53</v>
      </c>
      <c r="B46" s="25"/>
      <c r="C46" s="25"/>
      <c r="D46" s="25"/>
      <c r="E46" s="25"/>
      <c r="F46" s="25"/>
      <c r="G46" s="25"/>
      <c r="H46" s="25"/>
    </row>
    <row r="48" customFormat="false" ht="15" hidden="false" customHeight="false" outlineLevel="0" collapsed="false">
      <c r="A48" s="24" t="s">
        <v>54</v>
      </c>
      <c r="B48" s="24"/>
      <c r="C48" s="24"/>
      <c r="D48" s="24"/>
      <c r="E48" s="24"/>
      <c r="F48" s="24"/>
      <c r="G48" s="24"/>
      <c r="H48" s="24"/>
    </row>
    <row r="49" customFormat="false" ht="48" hidden="false" customHeight="true" outlineLevel="0" collapsed="false">
      <c r="A49" s="25" t="s">
        <v>55</v>
      </c>
      <c r="B49" s="25"/>
      <c r="C49" s="25"/>
      <c r="D49" s="25"/>
      <c r="E49" s="25"/>
      <c r="F49" s="25"/>
      <c r="G49" s="25"/>
      <c r="H49" s="25"/>
    </row>
    <row r="51" customFormat="false" ht="15" hidden="false" customHeight="false" outlineLevel="0" collapsed="false">
      <c r="A51" s="24" t="s">
        <v>56</v>
      </c>
      <c r="B51" s="24"/>
      <c r="C51" s="24"/>
      <c r="D51" s="24"/>
      <c r="E51" s="24"/>
      <c r="F51" s="24"/>
      <c r="G51" s="24"/>
      <c r="H51" s="24"/>
    </row>
    <row r="52" customFormat="false" ht="48" hidden="false" customHeight="true" outlineLevel="0" collapsed="false">
      <c r="A52" s="25" t="s">
        <v>57</v>
      </c>
      <c r="B52" s="25"/>
      <c r="C52" s="25"/>
      <c r="D52" s="25"/>
      <c r="E52" s="25"/>
      <c r="F52" s="25"/>
      <c r="G52" s="25"/>
      <c r="H52" s="25"/>
    </row>
    <row r="55" customFormat="false" ht="15" hidden="false" customHeight="false" outlineLevel="0" collapsed="false">
      <c r="A55" s="3" t="s">
        <v>58</v>
      </c>
    </row>
    <row r="56" customFormat="false" ht="30" hidden="false" customHeight="true" outlineLevel="0" collapsed="false">
      <c r="A56" s="5" t="s">
        <v>6</v>
      </c>
      <c r="B56" s="26" t="s">
        <v>59</v>
      </c>
      <c r="C56" s="26"/>
      <c r="D56" s="26"/>
      <c r="E56" s="26"/>
      <c r="F56" s="26"/>
      <c r="G56" s="26"/>
      <c r="H56" s="26"/>
    </row>
    <row r="57" customFormat="false" ht="30" hidden="false" customHeight="true" outlineLevel="0" collapsed="false">
      <c r="A57" s="5" t="s">
        <v>60</v>
      </c>
      <c r="B57" s="26" t="s">
        <v>61</v>
      </c>
      <c r="C57" s="26"/>
      <c r="D57" s="26"/>
      <c r="E57" s="26"/>
      <c r="F57" s="26"/>
      <c r="G57" s="26"/>
      <c r="H57" s="26"/>
    </row>
    <row r="58" customFormat="false" ht="30" hidden="false" customHeight="true" outlineLevel="0" collapsed="false">
      <c r="A58" s="5" t="s">
        <v>23</v>
      </c>
      <c r="B58" s="26" t="s">
        <v>62</v>
      </c>
      <c r="C58" s="26"/>
      <c r="D58" s="26"/>
      <c r="E58" s="26"/>
      <c r="F58" s="26"/>
      <c r="G58" s="26"/>
      <c r="H58" s="26"/>
    </row>
    <row r="59" customFormat="false" ht="30" hidden="false" customHeight="true" outlineLevel="0" collapsed="false">
      <c r="A59" s="5" t="s">
        <v>24</v>
      </c>
      <c r="B59" s="26" t="s">
        <v>63</v>
      </c>
      <c r="C59" s="26"/>
      <c r="D59" s="26"/>
      <c r="E59" s="26"/>
      <c r="F59" s="26"/>
      <c r="G59" s="26"/>
      <c r="H59" s="26"/>
    </row>
    <row r="60" customFormat="false" ht="30" hidden="false" customHeight="true" outlineLevel="0" collapsed="false">
      <c r="A60" s="5" t="s">
        <v>25</v>
      </c>
      <c r="B60" s="26" t="s">
        <v>64</v>
      </c>
      <c r="C60" s="26"/>
      <c r="D60" s="26"/>
      <c r="E60" s="26"/>
      <c r="F60" s="26"/>
      <c r="G60" s="26"/>
      <c r="H60" s="26"/>
    </row>
    <row r="61" customFormat="false" ht="30" hidden="false" customHeight="true" outlineLevel="0" collapsed="false">
      <c r="A61" s="5" t="s">
        <v>16</v>
      </c>
      <c r="B61" s="26" t="s">
        <v>65</v>
      </c>
      <c r="C61" s="26"/>
      <c r="D61" s="26"/>
      <c r="E61" s="26"/>
      <c r="F61" s="26"/>
      <c r="G61" s="26"/>
      <c r="H61" s="26"/>
    </row>
  </sheetData>
  <mergeCells count="28">
    <mergeCell ref="A1:H1"/>
    <mergeCell ref="A2:H2"/>
    <mergeCell ref="C6:H6"/>
    <mergeCell ref="C7:H7"/>
    <mergeCell ref="C8:H8"/>
    <mergeCell ref="C9:H9"/>
    <mergeCell ref="C10:H10"/>
    <mergeCell ref="C11:H11"/>
    <mergeCell ref="A33:H33"/>
    <mergeCell ref="A34:H34"/>
    <mergeCell ref="A36:H36"/>
    <mergeCell ref="A37:H37"/>
    <mergeCell ref="A39:H39"/>
    <mergeCell ref="A40:H40"/>
    <mergeCell ref="A42:H42"/>
    <mergeCell ref="A43:H43"/>
    <mergeCell ref="A45:H45"/>
    <mergeCell ref="A46:H46"/>
    <mergeCell ref="A48:H48"/>
    <mergeCell ref="A49:H49"/>
    <mergeCell ref="A51:H51"/>
    <mergeCell ref="A52:H52"/>
    <mergeCell ref="B56:H56"/>
    <mergeCell ref="B57:H57"/>
    <mergeCell ref="B58:H58"/>
    <mergeCell ref="B59:H59"/>
    <mergeCell ref="B60:H60"/>
    <mergeCell ref="B61: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5" min="3" style="0" width="32"/>
    <col collapsed="false" customWidth="true" hidden="false" outlineLevel="0" max="6" min="6" style="0" width="10"/>
    <col collapsed="false" customWidth="true" hidden="false" outlineLevel="0" max="7" min="7" style="0" width="9"/>
    <col collapsed="false" customWidth="true" hidden="false" outlineLevel="0" max="8" min="8" style="0" width="7"/>
    <col collapsed="false" customWidth="true" hidden="false" outlineLevel="0" max="9" min="9" style="0" width="10"/>
    <col collapsed="false" customWidth="true" hidden="false" outlineLevel="0" max="10" min="10" style="0" width="8"/>
    <col collapsed="false" customWidth="true" hidden="false" outlineLevel="0" max="11" min="11" style="0" width="9"/>
    <col collapsed="false" customWidth="true" hidden="false" outlineLevel="0" max="12" min="12" style="0" width="10"/>
    <col collapsed="false" customWidth="true" hidden="false" outlineLevel="0" max="13" min="13" style="0" width="20"/>
    <col collapsed="false" customWidth="true" hidden="false" outlineLevel="0" max="14" min="14" style="0" width="44"/>
  </cols>
  <sheetData>
    <row r="1" customFormat="false" ht="31.5" hidden="false" customHeight="true" outlineLevel="0" collapsed="false">
      <c r="A1" s="27" t="s">
        <v>66</v>
      </c>
      <c r="B1" s="27" t="s">
        <v>19</v>
      </c>
      <c r="C1" s="27" t="s">
        <v>67</v>
      </c>
      <c r="D1" s="27" t="s">
        <v>68</v>
      </c>
      <c r="E1" s="27" t="s">
        <v>69</v>
      </c>
      <c r="F1" s="27" t="s">
        <v>70</v>
      </c>
      <c r="G1" s="27" t="s">
        <v>71</v>
      </c>
      <c r="H1" s="27" t="s">
        <v>22</v>
      </c>
      <c r="I1" s="27" t="s">
        <v>72</v>
      </c>
      <c r="J1" s="27" t="s">
        <v>73</v>
      </c>
      <c r="K1" s="27" t="s">
        <v>74</v>
      </c>
      <c r="L1" s="27" t="s">
        <v>75</v>
      </c>
      <c r="M1" s="27" t="s">
        <v>76</v>
      </c>
      <c r="N1" s="27" t="s">
        <v>77</v>
      </c>
    </row>
    <row r="2" customFormat="false" ht="61.5" hidden="false" customHeight="true" outlineLevel="0" collapsed="false">
      <c r="A2" s="28" t="n">
        <v>0</v>
      </c>
      <c r="B2" s="29" t="s">
        <v>29</v>
      </c>
      <c r="C2" s="30" t="s">
        <v>78</v>
      </c>
      <c r="D2" s="30" t="s">
        <v>79</v>
      </c>
      <c r="E2" s="30" t="s">
        <v>80</v>
      </c>
      <c r="F2" s="28" t="n">
        <v>1</v>
      </c>
      <c r="G2" s="31" t="n">
        <v>3</v>
      </c>
      <c r="H2" s="32" t="n">
        <v>0.3333</v>
      </c>
      <c r="I2" s="28" t="n">
        <v>1</v>
      </c>
      <c r="J2" s="28" t="n">
        <v>5</v>
      </c>
      <c r="K2" s="32" t="n">
        <v>1</v>
      </c>
      <c r="L2" s="32" t="n">
        <v>0.75</v>
      </c>
      <c r="M2" s="30" t="s">
        <v>36</v>
      </c>
      <c r="N2" s="30" t="s">
        <v>81</v>
      </c>
    </row>
    <row r="3" customFormat="false" ht="61.5" hidden="false" customHeight="true" outlineLevel="0" collapsed="false">
      <c r="A3" s="28" t="n">
        <v>1</v>
      </c>
      <c r="B3" s="29" t="s">
        <v>29</v>
      </c>
      <c r="C3" s="30" t="s">
        <v>82</v>
      </c>
      <c r="D3" s="30" t="s">
        <v>83</v>
      </c>
      <c r="E3" s="30" t="s">
        <v>84</v>
      </c>
      <c r="F3" s="28" t="n">
        <v>1</v>
      </c>
      <c r="G3" s="31" t="n">
        <v>2</v>
      </c>
      <c r="H3" s="32" t="n">
        <v>0.5</v>
      </c>
      <c r="I3" s="28" t="n">
        <v>1</v>
      </c>
      <c r="J3" s="28" t="n">
        <v>5</v>
      </c>
      <c r="K3" s="32" t="n">
        <v>1</v>
      </c>
      <c r="L3" s="32" t="n">
        <v>0</v>
      </c>
      <c r="M3" s="30" t="s">
        <v>40</v>
      </c>
      <c r="N3" s="30" t="s">
        <v>85</v>
      </c>
    </row>
    <row r="4" customFormat="false" ht="61.5" hidden="false" customHeight="true" outlineLevel="0" collapsed="false">
      <c r="A4" s="28" t="n">
        <v>2</v>
      </c>
      <c r="B4" s="33" t="s">
        <v>26</v>
      </c>
      <c r="C4" s="30" t="s">
        <v>86</v>
      </c>
      <c r="D4" s="30" t="s">
        <v>87</v>
      </c>
      <c r="E4" s="30" t="s">
        <v>88</v>
      </c>
      <c r="F4" s="28" t="n">
        <v>0</v>
      </c>
      <c r="G4" s="31"/>
      <c r="H4" s="32" t="n">
        <v>0</v>
      </c>
      <c r="I4" s="28" t="n">
        <v>0</v>
      </c>
      <c r="J4" s="28" t="n">
        <v>5</v>
      </c>
      <c r="K4" s="32" t="n">
        <v>1</v>
      </c>
      <c r="L4" s="32" t="n">
        <v>0</v>
      </c>
      <c r="M4" s="30" t="s">
        <v>40</v>
      </c>
      <c r="N4" s="30" t="s">
        <v>89</v>
      </c>
    </row>
    <row r="5" customFormat="false" ht="61.5" hidden="false" customHeight="true" outlineLevel="0" collapsed="false">
      <c r="A5" s="28" t="n">
        <v>3</v>
      </c>
      <c r="B5" s="33" t="s">
        <v>26</v>
      </c>
      <c r="C5" s="30" t="s">
        <v>90</v>
      </c>
      <c r="D5" s="30" t="s">
        <v>91</v>
      </c>
      <c r="E5" s="30" t="s">
        <v>92</v>
      </c>
      <c r="F5" s="28" t="n">
        <v>1</v>
      </c>
      <c r="G5" s="31" t="n">
        <v>2</v>
      </c>
      <c r="H5" s="32" t="n">
        <v>0.5</v>
      </c>
      <c r="I5" s="28" t="n">
        <v>1</v>
      </c>
      <c r="J5" s="28" t="n">
        <v>3</v>
      </c>
      <c r="K5" s="32" t="n">
        <v>1</v>
      </c>
      <c r="L5" s="32" t="n">
        <v>1</v>
      </c>
      <c r="M5" s="30" t="s">
        <v>35</v>
      </c>
      <c r="N5" s="30" t="s">
        <v>93</v>
      </c>
    </row>
    <row r="6" customFormat="false" ht="61.5" hidden="false" customHeight="true" outlineLevel="0" collapsed="false">
      <c r="A6" s="28" t="n">
        <v>4</v>
      </c>
      <c r="B6" s="34" t="s">
        <v>27</v>
      </c>
      <c r="C6" s="30" t="s">
        <v>94</v>
      </c>
      <c r="D6" s="30" t="s">
        <v>95</v>
      </c>
      <c r="E6" s="30" t="s">
        <v>96</v>
      </c>
      <c r="F6" s="28" t="n">
        <v>0</v>
      </c>
      <c r="G6" s="31"/>
      <c r="H6" s="32" t="n">
        <v>0</v>
      </c>
      <c r="I6" s="28" t="n">
        <v>0</v>
      </c>
      <c r="J6" s="28" t="n">
        <v>5</v>
      </c>
      <c r="K6" s="32" t="n">
        <v>1</v>
      </c>
      <c r="L6" s="32" t="n">
        <v>0.5</v>
      </c>
      <c r="M6" s="30" t="s">
        <v>38</v>
      </c>
      <c r="N6" s="30" t="s">
        <v>97</v>
      </c>
    </row>
    <row r="7" customFormat="false" ht="61.5" hidden="false" customHeight="true" outlineLevel="0" collapsed="false">
      <c r="A7" s="28" t="n">
        <v>5</v>
      </c>
      <c r="B7" s="33" t="s">
        <v>26</v>
      </c>
      <c r="C7" s="30" t="s">
        <v>98</v>
      </c>
      <c r="D7" s="30" t="s">
        <v>99</v>
      </c>
      <c r="E7" s="30" t="s">
        <v>100</v>
      </c>
      <c r="F7" s="28" t="n">
        <v>0</v>
      </c>
      <c r="G7" s="31"/>
      <c r="H7" s="32" t="n">
        <v>0</v>
      </c>
      <c r="I7" s="28" t="n">
        <v>0</v>
      </c>
      <c r="J7" s="28" t="n">
        <v>5</v>
      </c>
      <c r="K7" s="32" t="n">
        <v>1</v>
      </c>
      <c r="L7" s="32" t="n">
        <v>0</v>
      </c>
      <c r="M7" s="30" t="s">
        <v>40</v>
      </c>
      <c r="N7" s="30" t="s">
        <v>89</v>
      </c>
    </row>
    <row r="8" customFormat="false" ht="61.5" hidden="false" customHeight="true" outlineLevel="0" collapsed="false">
      <c r="A8" s="28" t="n">
        <v>6</v>
      </c>
      <c r="B8" s="33" t="s">
        <v>26</v>
      </c>
      <c r="C8" s="30" t="s">
        <v>101</v>
      </c>
      <c r="D8" s="30" t="s">
        <v>102</v>
      </c>
      <c r="E8" s="30" t="s">
        <v>103</v>
      </c>
      <c r="F8" s="28" t="n">
        <v>1</v>
      </c>
      <c r="G8" s="31" t="n">
        <v>1</v>
      </c>
      <c r="H8" s="32" t="n">
        <v>1</v>
      </c>
      <c r="I8" s="28" t="n">
        <v>1</v>
      </c>
      <c r="J8" s="28" t="n">
        <v>4</v>
      </c>
      <c r="K8" s="32" t="n">
        <v>1</v>
      </c>
      <c r="L8" s="32" t="n">
        <v>1</v>
      </c>
      <c r="M8" s="30" t="s">
        <v>35</v>
      </c>
      <c r="N8" s="30" t="s">
        <v>104</v>
      </c>
    </row>
    <row r="9" customFormat="false" ht="61.5" hidden="false" customHeight="true" outlineLevel="0" collapsed="false">
      <c r="A9" s="28" t="n">
        <v>7</v>
      </c>
      <c r="B9" s="33" t="s">
        <v>26</v>
      </c>
      <c r="C9" s="30" t="s">
        <v>105</v>
      </c>
      <c r="D9" s="30" t="s">
        <v>106</v>
      </c>
      <c r="E9" s="30" t="s">
        <v>107</v>
      </c>
      <c r="F9" s="28" t="n">
        <v>1</v>
      </c>
      <c r="G9" s="31" t="n">
        <v>2</v>
      </c>
      <c r="H9" s="32" t="n">
        <v>0.5</v>
      </c>
      <c r="I9" s="28" t="n">
        <v>1</v>
      </c>
      <c r="J9" s="28" t="n">
        <v>2</v>
      </c>
      <c r="K9" s="32" t="n">
        <v>1</v>
      </c>
      <c r="L9" s="32" t="n">
        <v>0.6</v>
      </c>
      <c r="M9" s="30" t="s">
        <v>38</v>
      </c>
      <c r="N9" s="30" t="s">
        <v>108</v>
      </c>
    </row>
    <row r="10" customFormat="false" ht="61.5" hidden="false" customHeight="true" outlineLevel="0" collapsed="false">
      <c r="A10" s="28" t="n">
        <v>8</v>
      </c>
      <c r="B10" s="33" t="s">
        <v>26</v>
      </c>
      <c r="C10" s="30" t="s">
        <v>109</v>
      </c>
      <c r="D10" s="30" t="s">
        <v>110</v>
      </c>
      <c r="E10" s="30" t="s">
        <v>111</v>
      </c>
      <c r="F10" s="28" t="n">
        <v>1</v>
      </c>
      <c r="G10" s="31" t="n">
        <v>1</v>
      </c>
      <c r="H10" s="32" t="n">
        <v>1</v>
      </c>
      <c r="I10" s="28" t="n">
        <v>1</v>
      </c>
      <c r="J10" s="28" t="n">
        <v>2</v>
      </c>
      <c r="K10" s="32" t="n">
        <v>1</v>
      </c>
      <c r="L10" s="32" t="n">
        <v>1</v>
      </c>
      <c r="M10" s="30" t="s">
        <v>35</v>
      </c>
      <c r="N10" s="30" t="s">
        <v>112</v>
      </c>
    </row>
    <row r="11" customFormat="false" ht="61.5" hidden="false" customHeight="true" outlineLevel="0" collapsed="false">
      <c r="A11" s="28" t="n">
        <v>9</v>
      </c>
      <c r="B11" s="33" t="s">
        <v>26</v>
      </c>
      <c r="C11" s="30" t="s">
        <v>113</v>
      </c>
      <c r="D11" s="30" t="s">
        <v>114</v>
      </c>
      <c r="E11" s="30" t="s">
        <v>115</v>
      </c>
      <c r="F11" s="28" t="n">
        <v>1</v>
      </c>
      <c r="G11" s="31" t="n">
        <v>1</v>
      </c>
      <c r="H11" s="32" t="n">
        <v>1</v>
      </c>
      <c r="I11" s="28" t="n">
        <v>1</v>
      </c>
      <c r="J11" s="28" t="n">
        <v>3</v>
      </c>
      <c r="K11" s="32" t="n">
        <v>1</v>
      </c>
      <c r="L11" s="32" t="n">
        <v>1</v>
      </c>
      <c r="M11" s="30" t="s">
        <v>35</v>
      </c>
      <c r="N11" s="30" t="s">
        <v>116</v>
      </c>
    </row>
    <row r="12" customFormat="false" ht="61.5" hidden="false" customHeight="true" outlineLevel="0" collapsed="false">
      <c r="A12" s="28" t="n">
        <v>10</v>
      </c>
      <c r="B12" s="33" t="s">
        <v>26</v>
      </c>
      <c r="C12" s="30" t="s">
        <v>117</v>
      </c>
      <c r="D12" s="30" t="s">
        <v>118</v>
      </c>
      <c r="E12" s="30" t="s">
        <v>119</v>
      </c>
      <c r="F12" s="28" t="n">
        <v>1</v>
      </c>
      <c r="G12" s="31" t="n">
        <v>5</v>
      </c>
      <c r="H12" s="32" t="n">
        <v>0.2</v>
      </c>
      <c r="I12" s="28" t="n">
        <v>1</v>
      </c>
      <c r="J12" s="28" t="n">
        <v>3</v>
      </c>
      <c r="K12" s="32" t="n">
        <v>1</v>
      </c>
      <c r="L12" s="32" t="n">
        <v>0.8</v>
      </c>
      <c r="M12" s="30" t="s">
        <v>37</v>
      </c>
      <c r="N12" s="30" t="s">
        <v>120</v>
      </c>
    </row>
    <row r="13" customFormat="false" ht="61.5" hidden="false" customHeight="true" outlineLevel="0" collapsed="false">
      <c r="A13" s="28" t="n">
        <v>11</v>
      </c>
      <c r="B13" s="33" t="s">
        <v>26</v>
      </c>
      <c r="C13" s="30" t="s">
        <v>121</v>
      </c>
      <c r="D13" s="30" t="s">
        <v>122</v>
      </c>
      <c r="E13" s="30" t="s">
        <v>123</v>
      </c>
      <c r="F13" s="28" t="n">
        <v>1</v>
      </c>
      <c r="G13" s="31" t="n">
        <v>3</v>
      </c>
      <c r="H13" s="32" t="n">
        <v>0.3333</v>
      </c>
      <c r="I13" s="28" t="n">
        <v>1</v>
      </c>
      <c r="J13" s="28" t="n">
        <v>3</v>
      </c>
      <c r="K13" s="32" t="n">
        <v>1</v>
      </c>
      <c r="L13" s="32" t="n">
        <v>1</v>
      </c>
      <c r="M13" s="30" t="s">
        <v>35</v>
      </c>
      <c r="N13" s="30" t="s">
        <v>124</v>
      </c>
    </row>
    <row r="14" customFormat="false" ht="61.5" hidden="false" customHeight="true" outlineLevel="0" collapsed="false">
      <c r="A14" s="28" t="n">
        <v>12</v>
      </c>
      <c r="B14" s="33" t="s">
        <v>26</v>
      </c>
      <c r="C14" s="30" t="s">
        <v>125</v>
      </c>
      <c r="D14" s="30" t="s">
        <v>126</v>
      </c>
      <c r="E14" s="30" t="s">
        <v>127</v>
      </c>
      <c r="F14" s="28" t="n">
        <v>1</v>
      </c>
      <c r="G14" s="31" t="n">
        <v>1</v>
      </c>
      <c r="H14" s="32" t="n">
        <v>1</v>
      </c>
      <c r="I14" s="28" t="n">
        <v>1</v>
      </c>
      <c r="J14" s="28" t="n">
        <v>2</v>
      </c>
      <c r="K14" s="32" t="n">
        <v>1</v>
      </c>
      <c r="L14" s="32" t="n">
        <v>1</v>
      </c>
      <c r="M14" s="30" t="s">
        <v>35</v>
      </c>
      <c r="N14" s="30" t="s">
        <v>116</v>
      </c>
    </row>
    <row r="15" customFormat="false" ht="61.5" hidden="false" customHeight="true" outlineLevel="0" collapsed="false">
      <c r="A15" s="28" t="n">
        <v>13</v>
      </c>
      <c r="B15" s="33" t="s">
        <v>26</v>
      </c>
      <c r="C15" s="30" t="s">
        <v>128</v>
      </c>
      <c r="D15" s="30" t="s">
        <v>129</v>
      </c>
      <c r="E15" s="30" t="s">
        <v>130</v>
      </c>
      <c r="F15" s="28" t="n">
        <v>1</v>
      </c>
      <c r="G15" s="31" t="n">
        <v>3</v>
      </c>
      <c r="H15" s="32" t="n">
        <v>0.3333</v>
      </c>
      <c r="I15" s="28" t="n">
        <v>1</v>
      </c>
      <c r="J15" s="28" t="n">
        <v>3</v>
      </c>
      <c r="K15" s="32" t="n">
        <v>1</v>
      </c>
      <c r="L15" s="32" t="n">
        <v>1</v>
      </c>
      <c r="M15" s="30" t="s">
        <v>35</v>
      </c>
      <c r="N15" s="30" t="s">
        <v>131</v>
      </c>
    </row>
    <row r="16" customFormat="false" ht="61.5" hidden="false" customHeight="true" outlineLevel="0" collapsed="false">
      <c r="A16" s="28" t="n">
        <v>14</v>
      </c>
      <c r="B16" s="33" t="s">
        <v>26</v>
      </c>
      <c r="C16" s="30" t="s">
        <v>132</v>
      </c>
      <c r="D16" s="30" t="s">
        <v>133</v>
      </c>
      <c r="E16" s="30" t="s">
        <v>134</v>
      </c>
      <c r="F16" s="28" t="n">
        <v>1</v>
      </c>
      <c r="G16" s="31" t="n">
        <v>1</v>
      </c>
      <c r="H16" s="32" t="n">
        <v>1</v>
      </c>
      <c r="I16" s="28" t="n">
        <v>1</v>
      </c>
      <c r="J16" s="28" t="n">
        <v>2</v>
      </c>
      <c r="K16" s="32" t="n">
        <v>1</v>
      </c>
      <c r="L16" s="32" t="n">
        <v>0.7</v>
      </c>
      <c r="M16" s="30" t="s">
        <v>38</v>
      </c>
      <c r="N16" s="30" t="s">
        <v>135</v>
      </c>
    </row>
    <row r="17" customFormat="false" ht="61.5" hidden="false" customHeight="true" outlineLevel="0" collapsed="false">
      <c r="A17" s="28" t="n">
        <v>15</v>
      </c>
      <c r="B17" s="33" t="s">
        <v>26</v>
      </c>
      <c r="C17" s="30" t="s">
        <v>136</v>
      </c>
      <c r="D17" s="30" t="s">
        <v>137</v>
      </c>
      <c r="E17" s="30" t="s">
        <v>138</v>
      </c>
      <c r="F17" s="28" t="n">
        <v>1</v>
      </c>
      <c r="G17" s="31" t="n">
        <v>1</v>
      </c>
      <c r="H17" s="32" t="n">
        <v>1</v>
      </c>
      <c r="I17" s="28" t="n">
        <v>1</v>
      </c>
      <c r="J17" s="28" t="n">
        <v>2</v>
      </c>
      <c r="K17" s="32" t="n">
        <v>1</v>
      </c>
      <c r="L17" s="32" t="n">
        <v>1</v>
      </c>
      <c r="M17" s="30" t="s">
        <v>35</v>
      </c>
      <c r="N17" s="30" t="s">
        <v>139</v>
      </c>
    </row>
    <row r="18" customFormat="false" ht="61.5" hidden="false" customHeight="true" outlineLevel="0" collapsed="false">
      <c r="A18" s="28" t="n">
        <v>16</v>
      </c>
      <c r="B18" s="33" t="s">
        <v>26</v>
      </c>
      <c r="C18" s="30" t="s">
        <v>140</v>
      </c>
      <c r="D18" s="30" t="s">
        <v>141</v>
      </c>
      <c r="E18" s="30" t="s">
        <v>142</v>
      </c>
      <c r="F18" s="28" t="n">
        <v>1</v>
      </c>
      <c r="G18" s="31" t="n">
        <v>3</v>
      </c>
      <c r="H18" s="32" t="n">
        <v>0.3333</v>
      </c>
      <c r="I18" s="28" t="n">
        <v>1</v>
      </c>
      <c r="J18" s="28" t="n">
        <v>2</v>
      </c>
      <c r="K18" s="32" t="n">
        <v>1</v>
      </c>
      <c r="L18" s="32" t="n">
        <v>1</v>
      </c>
      <c r="M18" s="30" t="s">
        <v>35</v>
      </c>
      <c r="N18" s="30" t="s">
        <v>143</v>
      </c>
    </row>
    <row r="19" customFormat="false" ht="61.5" hidden="false" customHeight="true" outlineLevel="0" collapsed="false">
      <c r="A19" s="28" t="n">
        <v>17</v>
      </c>
      <c r="B19" s="33" t="s">
        <v>26</v>
      </c>
      <c r="C19" s="30" t="s">
        <v>144</v>
      </c>
      <c r="D19" s="30" t="s">
        <v>145</v>
      </c>
      <c r="E19" s="30" t="s">
        <v>146</v>
      </c>
      <c r="F19" s="28" t="n">
        <v>1</v>
      </c>
      <c r="G19" s="31" t="n">
        <v>4</v>
      </c>
      <c r="H19" s="32" t="n">
        <v>0.25</v>
      </c>
      <c r="I19" s="28" t="n">
        <v>1</v>
      </c>
      <c r="J19" s="28" t="n">
        <v>3</v>
      </c>
      <c r="K19" s="32" t="n">
        <v>1</v>
      </c>
      <c r="L19" s="32" t="n">
        <v>1</v>
      </c>
      <c r="M19" s="30" t="s">
        <v>35</v>
      </c>
      <c r="N19" s="30" t="s">
        <v>147</v>
      </c>
    </row>
    <row r="20" customFormat="false" ht="61.5" hidden="false" customHeight="true" outlineLevel="0" collapsed="false">
      <c r="A20" s="28" t="n">
        <v>18</v>
      </c>
      <c r="B20" s="33" t="s">
        <v>26</v>
      </c>
      <c r="C20" s="30" t="s">
        <v>148</v>
      </c>
      <c r="D20" s="30" t="s">
        <v>149</v>
      </c>
      <c r="E20" s="30" t="s">
        <v>150</v>
      </c>
      <c r="F20" s="28" t="n">
        <v>1</v>
      </c>
      <c r="G20" s="31" t="n">
        <v>3</v>
      </c>
      <c r="H20" s="32" t="n">
        <v>0.3333</v>
      </c>
      <c r="I20" s="28" t="n">
        <v>1</v>
      </c>
      <c r="J20" s="28" t="n">
        <v>2</v>
      </c>
      <c r="K20" s="32" t="n">
        <v>1</v>
      </c>
      <c r="L20" s="32" t="n">
        <v>1</v>
      </c>
      <c r="M20" s="30" t="s">
        <v>35</v>
      </c>
      <c r="N20" s="30" t="s">
        <v>151</v>
      </c>
    </row>
    <row r="21" customFormat="false" ht="61.5" hidden="false" customHeight="true" outlineLevel="0" collapsed="false">
      <c r="A21" s="28" t="n">
        <v>19</v>
      </c>
      <c r="B21" s="33" t="s">
        <v>26</v>
      </c>
      <c r="C21" s="30" t="s">
        <v>152</v>
      </c>
      <c r="D21" s="30" t="s">
        <v>153</v>
      </c>
      <c r="E21" s="30" t="s">
        <v>154</v>
      </c>
      <c r="F21" s="28" t="n">
        <v>1</v>
      </c>
      <c r="G21" s="31" t="n">
        <v>2</v>
      </c>
      <c r="H21" s="32" t="n">
        <v>0.5</v>
      </c>
      <c r="I21" s="28" t="n">
        <v>1</v>
      </c>
      <c r="J21" s="28" t="n">
        <v>3</v>
      </c>
      <c r="K21" s="32" t="n">
        <v>1</v>
      </c>
      <c r="L21" s="32" t="n">
        <v>1</v>
      </c>
      <c r="M21" s="30" t="s">
        <v>35</v>
      </c>
      <c r="N21" s="30" t="s">
        <v>155</v>
      </c>
    </row>
    <row r="22" customFormat="false" ht="61.5" hidden="false" customHeight="true" outlineLevel="0" collapsed="false">
      <c r="A22" s="28" t="n">
        <v>20</v>
      </c>
      <c r="B22" s="33" t="s">
        <v>26</v>
      </c>
      <c r="C22" s="30" t="s">
        <v>156</v>
      </c>
      <c r="D22" s="30" t="s">
        <v>157</v>
      </c>
      <c r="E22" s="30" t="s">
        <v>158</v>
      </c>
      <c r="F22" s="28" t="n">
        <v>1</v>
      </c>
      <c r="G22" s="31" t="n">
        <v>2</v>
      </c>
      <c r="H22" s="32" t="n">
        <v>0.5</v>
      </c>
      <c r="I22" s="28" t="n">
        <v>1</v>
      </c>
      <c r="J22" s="28" t="n">
        <v>5</v>
      </c>
      <c r="K22" s="32" t="n">
        <v>1</v>
      </c>
      <c r="L22" s="32" t="n">
        <v>1</v>
      </c>
      <c r="M22" s="30" t="s">
        <v>35</v>
      </c>
      <c r="N22" s="30" t="s">
        <v>159</v>
      </c>
    </row>
    <row r="23" customFormat="false" ht="61.5" hidden="false" customHeight="true" outlineLevel="0" collapsed="false">
      <c r="A23" s="28" t="n">
        <v>21</v>
      </c>
      <c r="B23" s="33" t="s">
        <v>26</v>
      </c>
      <c r="C23" s="30" t="s">
        <v>160</v>
      </c>
      <c r="D23" s="30" t="s">
        <v>161</v>
      </c>
      <c r="E23" s="30" t="s">
        <v>162</v>
      </c>
      <c r="F23" s="28" t="n">
        <v>1</v>
      </c>
      <c r="G23" s="31" t="n">
        <v>1</v>
      </c>
      <c r="H23" s="32" t="n">
        <v>1</v>
      </c>
      <c r="I23" s="28" t="n">
        <v>1</v>
      </c>
      <c r="J23" s="28" t="n">
        <v>3</v>
      </c>
      <c r="K23" s="32" t="n">
        <v>1</v>
      </c>
      <c r="L23" s="32" t="n">
        <v>1</v>
      </c>
      <c r="M23" s="30" t="s">
        <v>35</v>
      </c>
      <c r="N23" s="30" t="s">
        <v>163</v>
      </c>
    </row>
    <row r="24" customFormat="false" ht="61.5" hidden="false" customHeight="true" outlineLevel="0" collapsed="false">
      <c r="A24" s="28" t="n">
        <v>22</v>
      </c>
      <c r="B24" s="33" t="s">
        <v>26</v>
      </c>
      <c r="C24" s="30" t="s">
        <v>164</v>
      </c>
      <c r="D24" s="30" t="s">
        <v>165</v>
      </c>
      <c r="E24" s="30" t="s">
        <v>166</v>
      </c>
      <c r="F24" s="28" t="n">
        <v>1</v>
      </c>
      <c r="G24" s="31" t="n">
        <v>1</v>
      </c>
      <c r="H24" s="32" t="n">
        <v>1</v>
      </c>
      <c r="I24" s="28" t="n">
        <v>1</v>
      </c>
      <c r="J24" s="28" t="n">
        <v>2</v>
      </c>
      <c r="K24" s="32" t="n">
        <v>1</v>
      </c>
      <c r="L24" s="32" t="n">
        <v>1</v>
      </c>
      <c r="M24" s="30" t="s">
        <v>35</v>
      </c>
      <c r="N24" s="30" t="s">
        <v>163</v>
      </c>
    </row>
    <row r="25" customFormat="false" ht="61.5" hidden="false" customHeight="true" outlineLevel="0" collapsed="false">
      <c r="A25" s="28" t="n">
        <v>23</v>
      </c>
      <c r="B25" s="33" t="s">
        <v>26</v>
      </c>
      <c r="C25" s="30" t="s">
        <v>167</v>
      </c>
      <c r="D25" s="30" t="s">
        <v>168</v>
      </c>
      <c r="E25" s="30" t="s">
        <v>169</v>
      </c>
      <c r="F25" s="28" t="n">
        <v>1</v>
      </c>
      <c r="G25" s="31" t="n">
        <v>1</v>
      </c>
      <c r="H25" s="32" t="n">
        <v>1</v>
      </c>
      <c r="I25" s="28" t="n">
        <v>1</v>
      </c>
      <c r="J25" s="28" t="n">
        <v>2</v>
      </c>
      <c r="K25" s="32" t="n">
        <v>1</v>
      </c>
      <c r="L25" s="32" t="n">
        <v>1</v>
      </c>
      <c r="M25" s="30" t="s">
        <v>35</v>
      </c>
      <c r="N25" s="30" t="s">
        <v>170</v>
      </c>
    </row>
    <row r="26" customFormat="false" ht="61.5" hidden="false" customHeight="true" outlineLevel="0" collapsed="false">
      <c r="A26" s="28" t="n">
        <v>24</v>
      </c>
      <c r="B26" s="33" t="s">
        <v>26</v>
      </c>
      <c r="C26" s="30" t="s">
        <v>171</v>
      </c>
      <c r="D26" s="30" t="s">
        <v>172</v>
      </c>
      <c r="E26" s="30" t="s">
        <v>173</v>
      </c>
      <c r="F26" s="28" t="n">
        <v>1</v>
      </c>
      <c r="G26" s="31" t="n">
        <v>1</v>
      </c>
      <c r="H26" s="32" t="n">
        <v>1</v>
      </c>
      <c r="I26" s="28" t="n">
        <v>1</v>
      </c>
      <c r="J26" s="28" t="n">
        <v>2</v>
      </c>
      <c r="K26" s="32" t="n">
        <v>1</v>
      </c>
      <c r="L26" s="32" t="n">
        <v>1</v>
      </c>
      <c r="M26" s="30" t="s">
        <v>35</v>
      </c>
      <c r="N26" s="30" t="s">
        <v>174</v>
      </c>
    </row>
    <row r="27" customFormat="false" ht="61.5" hidden="false" customHeight="true" outlineLevel="0" collapsed="false">
      <c r="A27" s="28" t="n">
        <v>25</v>
      </c>
      <c r="B27" s="33" t="s">
        <v>26</v>
      </c>
      <c r="C27" s="30" t="s">
        <v>175</v>
      </c>
      <c r="D27" s="30" t="s">
        <v>176</v>
      </c>
      <c r="E27" s="30" t="s">
        <v>177</v>
      </c>
      <c r="F27" s="28" t="n">
        <v>1</v>
      </c>
      <c r="G27" s="31" t="n">
        <v>1</v>
      </c>
      <c r="H27" s="32" t="n">
        <v>1</v>
      </c>
      <c r="I27" s="28" t="n">
        <v>1</v>
      </c>
      <c r="J27" s="28" t="n">
        <v>1</v>
      </c>
      <c r="K27" s="32" t="n">
        <v>1</v>
      </c>
      <c r="L27" s="32" t="n">
        <v>0.9</v>
      </c>
      <c r="M27" s="30" t="s">
        <v>35</v>
      </c>
      <c r="N27" s="30" t="s">
        <v>178</v>
      </c>
    </row>
    <row r="28" customFormat="false" ht="61.5" hidden="false" customHeight="true" outlineLevel="0" collapsed="false">
      <c r="A28" s="28" t="n">
        <v>26</v>
      </c>
      <c r="B28" s="33" t="s">
        <v>26</v>
      </c>
      <c r="C28" s="30" t="s">
        <v>179</v>
      </c>
      <c r="D28" s="30" t="s">
        <v>180</v>
      </c>
      <c r="E28" s="30" t="s">
        <v>181</v>
      </c>
      <c r="F28" s="28" t="n">
        <v>1</v>
      </c>
      <c r="G28" s="31" t="n">
        <v>2</v>
      </c>
      <c r="H28" s="32" t="n">
        <v>0.5</v>
      </c>
      <c r="I28" s="28" t="n">
        <v>1</v>
      </c>
      <c r="J28" s="28" t="n">
        <v>2</v>
      </c>
      <c r="K28" s="32" t="n">
        <v>1</v>
      </c>
      <c r="L28" s="32" t="n">
        <v>0</v>
      </c>
      <c r="M28" s="30" t="s">
        <v>40</v>
      </c>
      <c r="N28" s="30" t="s">
        <v>182</v>
      </c>
    </row>
    <row r="29" customFormat="false" ht="61.5" hidden="false" customHeight="true" outlineLevel="0" collapsed="false">
      <c r="A29" s="28" t="n">
        <v>27</v>
      </c>
      <c r="B29" s="33" t="s">
        <v>26</v>
      </c>
      <c r="C29" s="30" t="s">
        <v>183</v>
      </c>
      <c r="D29" s="30" t="s">
        <v>184</v>
      </c>
      <c r="E29" s="30" t="s">
        <v>185</v>
      </c>
      <c r="F29" s="28" t="n">
        <v>1</v>
      </c>
      <c r="G29" s="31" t="n">
        <v>2</v>
      </c>
      <c r="H29" s="32" t="n">
        <v>0.5</v>
      </c>
      <c r="I29" s="28" t="n">
        <v>1</v>
      </c>
      <c r="J29" s="28" t="n">
        <v>2</v>
      </c>
      <c r="K29" s="32" t="n">
        <v>1</v>
      </c>
      <c r="L29" s="32" t="n">
        <v>1</v>
      </c>
      <c r="M29" s="30" t="s">
        <v>35</v>
      </c>
      <c r="N29" s="30" t="s">
        <v>186</v>
      </c>
    </row>
    <row r="30" customFormat="false" ht="61.5" hidden="false" customHeight="true" outlineLevel="0" collapsed="false">
      <c r="A30" s="28" t="n">
        <v>28</v>
      </c>
      <c r="B30" s="33" t="s">
        <v>26</v>
      </c>
      <c r="C30" s="30" t="s">
        <v>187</v>
      </c>
      <c r="D30" s="30" t="s">
        <v>188</v>
      </c>
      <c r="E30" s="30" t="s">
        <v>189</v>
      </c>
      <c r="F30" s="28" t="n">
        <v>1</v>
      </c>
      <c r="G30" s="31" t="n">
        <v>1</v>
      </c>
      <c r="H30" s="32" t="n">
        <v>1</v>
      </c>
      <c r="I30" s="28" t="n">
        <v>1</v>
      </c>
      <c r="J30" s="28" t="n">
        <v>2</v>
      </c>
      <c r="K30" s="32" t="n">
        <v>1</v>
      </c>
      <c r="L30" s="32" t="n">
        <v>1</v>
      </c>
      <c r="M30" s="30" t="s">
        <v>35</v>
      </c>
      <c r="N30" s="30" t="s">
        <v>190</v>
      </c>
    </row>
    <row r="31" customFormat="false" ht="61.5" hidden="false" customHeight="true" outlineLevel="0" collapsed="false">
      <c r="A31" s="28" t="n">
        <v>29</v>
      </c>
      <c r="B31" s="33" t="s">
        <v>26</v>
      </c>
      <c r="C31" s="30" t="s">
        <v>191</v>
      </c>
      <c r="D31" s="30" t="s">
        <v>192</v>
      </c>
      <c r="E31" s="30" t="s">
        <v>193</v>
      </c>
      <c r="F31" s="28" t="n">
        <v>1</v>
      </c>
      <c r="G31" s="31" t="n">
        <v>1</v>
      </c>
      <c r="H31" s="32" t="n">
        <v>1</v>
      </c>
      <c r="I31" s="28" t="n">
        <v>1</v>
      </c>
      <c r="J31" s="28" t="n">
        <v>2</v>
      </c>
      <c r="K31" s="32" t="n">
        <v>1</v>
      </c>
      <c r="L31" s="32" t="n">
        <v>1</v>
      </c>
      <c r="M31" s="30" t="s">
        <v>35</v>
      </c>
      <c r="N31" s="30" t="s">
        <v>194</v>
      </c>
    </row>
    <row r="32" customFormat="false" ht="61.5" hidden="false" customHeight="true" outlineLevel="0" collapsed="false">
      <c r="A32" s="28" t="n">
        <v>30</v>
      </c>
      <c r="B32" s="33" t="s">
        <v>26</v>
      </c>
      <c r="C32" s="30" t="s">
        <v>195</v>
      </c>
      <c r="D32" s="30" t="s">
        <v>196</v>
      </c>
      <c r="E32" s="30" t="s">
        <v>197</v>
      </c>
      <c r="F32" s="28" t="n">
        <v>1</v>
      </c>
      <c r="G32" s="31" t="n">
        <v>1</v>
      </c>
      <c r="H32" s="32" t="n">
        <v>1</v>
      </c>
      <c r="I32" s="28" t="n">
        <v>1</v>
      </c>
      <c r="J32" s="28" t="n">
        <v>2</v>
      </c>
      <c r="K32" s="32" t="n">
        <v>1</v>
      </c>
      <c r="L32" s="32" t="n">
        <v>1</v>
      </c>
      <c r="M32" s="30" t="s">
        <v>35</v>
      </c>
      <c r="N32" s="30" t="s">
        <v>198</v>
      </c>
    </row>
    <row r="33" customFormat="false" ht="61.5" hidden="false" customHeight="true" outlineLevel="0" collapsed="false">
      <c r="A33" s="28" t="n">
        <v>31</v>
      </c>
      <c r="B33" s="35" t="s">
        <v>28</v>
      </c>
      <c r="C33" s="30" t="s">
        <v>199</v>
      </c>
      <c r="D33" s="30" t="s">
        <v>200</v>
      </c>
      <c r="E33" s="30" t="s">
        <v>201</v>
      </c>
      <c r="F33" s="28" t="n">
        <v>0</v>
      </c>
      <c r="G33" s="31"/>
      <c r="H33" s="32" t="n">
        <v>0</v>
      </c>
      <c r="I33" s="28" t="n">
        <v>0</v>
      </c>
      <c r="J33" s="28" t="n">
        <v>3</v>
      </c>
      <c r="K33" s="32" t="n">
        <v>0.8</v>
      </c>
      <c r="L33" s="32" t="n">
        <v>0.5</v>
      </c>
      <c r="M33" s="30" t="s">
        <v>38</v>
      </c>
      <c r="N33" s="30" t="s">
        <v>202</v>
      </c>
    </row>
    <row r="34" customFormat="false" ht="61.5" hidden="false" customHeight="true" outlineLevel="0" collapsed="false">
      <c r="A34" s="28" t="n">
        <v>32</v>
      </c>
      <c r="B34" s="35" t="s">
        <v>28</v>
      </c>
      <c r="C34" s="30" t="s">
        <v>203</v>
      </c>
      <c r="D34" s="30" t="s">
        <v>204</v>
      </c>
      <c r="E34" s="30" t="s">
        <v>205</v>
      </c>
      <c r="F34" s="28" t="n">
        <v>1</v>
      </c>
      <c r="G34" s="31" t="n">
        <v>4</v>
      </c>
      <c r="H34" s="32" t="n">
        <v>0.25</v>
      </c>
      <c r="I34" s="28" t="n">
        <v>1</v>
      </c>
      <c r="J34" s="28" t="n">
        <v>3</v>
      </c>
      <c r="K34" s="32" t="n">
        <v>1</v>
      </c>
      <c r="L34" s="32" t="n">
        <v>0.6</v>
      </c>
      <c r="M34" s="30" t="s">
        <v>38</v>
      </c>
      <c r="N34" s="30" t="s">
        <v>206</v>
      </c>
    </row>
    <row r="35" customFormat="false" ht="61.5" hidden="false" customHeight="true" outlineLevel="0" collapsed="false">
      <c r="A35" s="28" t="n">
        <v>33</v>
      </c>
      <c r="B35" s="35" t="s">
        <v>28</v>
      </c>
      <c r="C35" s="30" t="s">
        <v>207</v>
      </c>
      <c r="D35" s="30" t="s">
        <v>208</v>
      </c>
      <c r="E35" s="30" t="s">
        <v>209</v>
      </c>
      <c r="F35" s="28" t="n">
        <v>1</v>
      </c>
      <c r="G35" s="31" t="n">
        <v>1</v>
      </c>
      <c r="H35" s="32" t="n">
        <v>1</v>
      </c>
      <c r="I35" s="28" t="n">
        <v>1</v>
      </c>
      <c r="J35" s="28" t="n">
        <v>3</v>
      </c>
      <c r="K35" s="32" t="n">
        <v>1</v>
      </c>
      <c r="L35" s="32" t="n">
        <v>1</v>
      </c>
      <c r="M35" s="30" t="s">
        <v>35</v>
      </c>
      <c r="N35" s="30" t="s">
        <v>210</v>
      </c>
    </row>
    <row r="36" customFormat="false" ht="61.5" hidden="false" customHeight="true" outlineLevel="0" collapsed="false">
      <c r="A36" s="28" t="n">
        <v>34</v>
      </c>
      <c r="B36" s="35" t="s">
        <v>28</v>
      </c>
      <c r="C36" s="30" t="s">
        <v>211</v>
      </c>
      <c r="D36" s="30" t="s">
        <v>212</v>
      </c>
      <c r="E36" s="30" t="s">
        <v>213</v>
      </c>
      <c r="F36" s="28" t="n">
        <v>0</v>
      </c>
      <c r="G36" s="31"/>
      <c r="H36" s="32" t="n">
        <v>0</v>
      </c>
      <c r="I36" s="28" t="n">
        <v>0</v>
      </c>
      <c r="J36" s="28" t="n">
        <v>3</v>
      </c>
      <c r="K36" s="32" t="n">
        <v>1</v>
      </c>
      <c r="L36" s="32" t="n">
        <v>0.85</v>
      </c>
      <c r="M36" s="30" t="s">
        <v>35</v>
      </c>
      <c r="N36" s="30" t="s">
        <v>214</v>
      </c>
    </row>
    <row r="37" customFormat="false" ht="61.5" hidden="false" customHeight="true" outlineLevel="0" collapsed="false">
      <c r="A37" s="28" t="n">
        <v>35</v>
      </c>
      <c r="B37" s="35" t="s">
        <v>28</v>
      </c>
      <c r="C37" s="30" t="s">
        <v>215</v>
      </c>
      <c r="D37" s="30" t="s">
        <v>216</v>
      </c>
      <c r="E37" s="30" t="s">
        <v>217</v>
      </c>
      <c r="F37" s="28" t="n">
        <v>1</v>
      </c>
      <c r="G37" s="31" t="n">
        <v>4</v>
      </c>
      <c r="H37" s="32" t="n">
        <v>0.25</v>
      </c>
      <c r="I37" s="28" t="n">
        <v>1</v>
      </c>
      <c r="J37" s="28" t="n">
        <v>2</v>
      </c>
      <c r="K37" s="32" t="n">
        <v>0</v>
      </c>
      <c r="L37" s="32" t="n">
        <v>0</v>
      </c>
      <c r="M37" s="30" t="s">
        <v>41</v>
      </c>
      <c r="N37" s="30" t="s">
        <v>218</v>
      </c>
    </row>
    <row r="38" customFormat="false" ht="61.5" hidden="false" customHeight="true" outlineLevel="0" collapsed="false">
      <c r="A38" s="28" t="n">
        <v>36</v>
      </c>
      <c r="B38" s="35" t="s">
        <v>28</v>
      </c>
      <c r="C38" s="30" t="s">
        <v>219</v>
      </c>
      <c r="D38" s="30" t="s">
        <v>220</v>
      </c>
      <c r="E38" s="30" t="s">
        <v>221</v>
      </c>
      <c r="F38" s="28" t="n">
        <v>1</v>
      </c>
      <c r="G38" s="31" t="n">
        <v>3</v>
      </c>
      <c r="H38" s="32" t="n">
        <v>0.3333</v>
      </c>
      <c r="I38" s="28" t="n">
        <v>1</v>
      </c>
      <c r="J38" s="28" t="n">
        <v>4</v>
      </c>
      <c r="K38" s="32" t="n">
        <v>1</v>
      </c>
      <c r="L38" s="32" t="n">
        <v>1</v>
      </c>
      <c r="M38" s="30" t="s">
        <v>35</v>
      </c>
      <c r="N38" s="30" t="s">
        <v>222</v>
      </c>
    </row>
    <row r="39" customFormat="false" ht="61.5" hidden="false" customHeight="true" outlineLevel="0" collapsed="false">
      <c r="A39" s="28" t="n">
        <v>37</v>
      </c>
      <c r="B39" s="35" t="s">
        <v>28</v>
      </c>
      <c r="C39" s="30" t="s">
        <v>223</v>
      </c>
      <c r="D39" s="30" t="s">
        <v>224</v>
      </c>
      <c r="E39" s="30" t="s">
        <v>225</v>
      </c>
      <c r="F39" s="28" t="n">
        <v>1</v>
      </c>
      <c r="G39" s="31" t="n">
        <v>1</v>
      </c>
      <c r="H39" s="32" t="n">
        <v>1</v>
      </c>
      <c r="I39" s="28" t="n">
        <v>1</v>
      </c>
      <c r="J39" s="28" t="n">
        <v>3</v>
      </c>
      <c r="K39" s="32" t="n">
        <v>1</v>
      </c>
      <c r="L39" s="32" t="n">
        <v>1</v>
      </c>
      <c r="M39" s="30" t="s">
        <v>35</v>
      </c>
      <c r="N39" s="30" t="s">
        <v>226</v>
      </c>
    </row>
    <row r="40" customFormat="false" ht="61.5" hidden="false" customHeight="true" outlineLevel="0" collapsed="false">
      <c r="A40" s="28" t="n">
        <v>38</v>
      </c>
      <c r="B40" s="35" t="s">
        <v>28</v>
      </c>
      <c r="C40" s="30" t="s">
        <v>227</v>
      </c>
      <c r="D40" s="30" t="s">
        <v>228</v>
      </c>
      <c r="E40" s="30" t="s">
        <v>229</v>
      </c>
      <c r="F40" s="28" t="n">
        <v>0</v>
      </c>
      <c r="G40" s="31"/>
      <c r="H40" s="32" t="n">
        <v>0</v>
      </c>
      <c r="I40" s="28" t="n">
        <v>0</v>
      </c>
      <c r="J40" s="28" t="n">
        <v>3</v>
      </c>
      <c r="K40" s="32" t="n">
        <v>1</v>
      </c>
      <c r="L40" s="32" t="n">
        <v>1</v>
      </c>
      <c r="M40" s="30" t="s">
        <v>35</v>
      </c>
      <c r="N40" s="30" t="s">
        <v>230</v>
      </c>
    </row>
    <row r="41" customFormat="false" ht="61.5" hidden="false" customHeight="true" outlineLevel="0" collapsed="false">
      <c r="A41" s="28" t="n">
        <v>39</v>
      </c>
      <c r="B41" s="34" t="s">
        <v>27</v>
      </c>
      <c r="C41" s="30" t="s">
        <v>231</v>
      </c>
      <c r="D41" s="30" t="s">
        <v>232</v>
      </c>
      <c r="E41" s="30" t="s">
        <v>233</v>
      </c>
      <c r="F41" s="28" t="n">
        <v>1</v>
      </c>
      <c r="G41" s="31" t="n">
        <v>2</v>
      </c>
      <c r="H41" s="32" t="n">
        <v>0.5</v>
      </c>
      <c r="I41" s="28" t="n">
        <v>1</v>
      </c>
      <c r="J41" s="28" t="n">
        <v>4</v>
      </c>
      <c r="K41" s="32" t="n">
        <v>0.5</v>
      </c>
      <c r="L41" s="32" t="n">
        <v>0.3</v>
      </c>
      <c r="M41" s="30" t="s">
        <v>39</v>
      </c>
      <c r="N41" s="30" t="s">
        <v>234</v>
      </c>
    </row>
    <row r="42" customFormat="false" ht="61.5" hidden="false" customHeight="true" outlineLevel="0" collapsed="false">
      <c r="A42" s="28" t="n">
        <v>40</v>
      </c>
      <c r="B42" s="34" t="s">
        <v>27</v>
      </c>
      <c r="C42" s="30" t="s">
        <v>235</v>
      </c>
      <c r="D42" s="30" t="s">
        <v>236</v>
      </c>
      <c r="E42" s="30" t="s">
        <v>237</v>
      </c>
      <c r="F42" s="28" t="n">
        <v>0</v>
      </c>
      <c r="G42" s="31"/>
      <c r="H42" s="32" t="n">
        <v>0</v>
      </c>
      <c r="I42" s="28" t="n">
        <v>0</v>
      </c>
      <c r="J42" s="28" t="n">
        <v>1</v>
      </c>
      <c r="K42" s="32" t="n">
        <v>1</v>
      </c>
      <c r="L42" s="32" t="n">
        <v>0.5</v>
      </c>
      <c r="M42" s="30" t="s">
        <v>38</v>
      </c>
      <c r="N42" s="30" t="s">
        <v>238</v>
      </c>
    </row>
    <row r="44" customFormat="false" ht="15" hidden="false" customHeight="false" outlineLevel="0" collapsed="false">
      <c r="A44" s="36" t="s">
        <v>239</v>
      </c>
      <c r="F44" s="37" t="n">
        <f aca="false">AVERAGE(F2:F42)</f>
        <v>0.829268292682927</v>
      </c>
      <c r="H44" s="38" t="n">
        <f aca="false">AVERAGE(H2:H42)</f>
        <v>0.559751219512195</v>
      </c>
      <c r="I44" s="37" t="n">
        <f aca="false">AVERAGE(I2:I42)</f>
        <v>0.829268292682927</v>
      </c>
      <c r="J44" s="39" t="n">
        <f aca="false">SUM(J2:J42)</f>
        <v>118</v>
      </c>
      <c r="K44" s="38" t="n">
        <f aca="false">AVERAGE(K2:K42)</f>
        <v>0.958536585365854</v>
      </c>
      <c r="L44" s="38" t="n">
        <f aca="false">AVERAGE(L2:L42)</f>
        <v>0.780487804878049</v>
      </c>
    </row>
  </sheetData>
  <conditionalFormatting sqref="K2:L42">
    <cfRule type="colorScale" priority="2">
      <colorScale>
        <cfvo type="min" val="0"/>
        <cfvo type="percentile" val="50"/>
        <cfvo type="max" val="0"/>
        <color rgb="FFF8696B"/>
        <color rgb="FFFFEB84"/>
        <color rgb="FF63BE7B"/>
      </colorScale>
    </cfRule>
  </conditionalFormatting>
  <conditionalFormatting sqref="M2:M42">
    <cfRule type="expression" priority="3" aboveAverage="0" equalAverage="0" bottom="0" percent="0" rank="0" text="" dxfId="0">
      <formula>$M2="Correct"</formula>
    </cfRule>
    <cfRule type="expression" priority="4" aboveAverage="0" equalAverage="0" bottom="0" percent="0" rank="0" text="" dxfId="1">
      <formula>$M2="Correct-Partial"</formula>
    </cfRule>
    <cfRule type="expression" priority="5" aboveAverage="0" equalAverage="0" bottom="0" percent="0" rank="0" text="" dxfId="1">
      <formula>$M2="Correct-Condensed"</formula>
    </cfRule>
    <cfRule type="expression" priority="6" aboveAverage="0" equalAverage="0" bottom="0" percent="0" rank="0" text="" dxfId="2">
      <formula>$M2="Partial"</formula>
    </cfRule>
    <cfRule type="expression" priority="7" aboveAverage="0" equalAverage="0" bottom="0" percent="0" rank="0" text="" dxfId="3">
      <formula>$M2="Partial / Incorrect"</formula>
    </cfRule>
    <cfRule type="expression" priority="8" aboveAverage="0" equalAverage="0" bottom="0" percent="0" rank="0" text="" dxfId="4">
      <formula>$M2="Abstained-Justified / Task Fail"</formula>
    </cfRule>
    <cfRule type="expression" priority="9" aboveAverage="0" equalAverage="0" bottom="0" percent="0" rank="0" text="" dxfId="5">
      <formula>$M2="Incorrect / Hallucinated"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2026-09-21T06:46:49Z</dcterms:created>
  <dc:creator>openpyxl</dc:creator>
  <dc:description/>
  <dc:language>en-US</dc:language>
  <cp:lastModifiedBy/>
  <dcterms:modified xsi:type="dcterms:W3CDTF">2026-09-21T06:46:49Z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